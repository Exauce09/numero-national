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45671e777141e1" /></Relationships>
</file>

<file path=xl/workbook.xml><?xml version="1.0" encoding="utf-8"?>
<x:workbook xmlns:x="http://schemas.openxmlformats.org/spreadsheetml/2006/main">
  <x:sheets>
    <x:sheet xmlns:r="http://schemas.openxmlformats.org/officeDocument/2006/relationships" name="README" sheetId="1" r:id="R4de3df37deb94594"/>
    <x:sheet xmlns:r="http://schemas.openxmlformats.org/officeDocument/2006/relationships" name="Couverture" sheetId="2" r:id="R14c4527cdae64cfc"/>
    <x:sheet xmlns:r="http://schemas.openxmlformats.org/officeDocument/2006/relationships" name="Provinces" sheetId="3" r:id="R3410d441bd234d53"/>
    <x:sheet xmlns:r="http://schemas.openxmlformats.org/officeDocument/2006/relationships" name="Territoires" sheetId="4" r:id="R1eecbbe9ac7948d8"/>
    <x:sheet xmlns:r="http://schemas.openxmlformats.org/officeDocument/2006/relationships" name="Secteurs_Chefferies" sheetId="5" r:id="R2f80e3d7f1cb4238"/>
    <x:sheet xmlns:r="http://schemas.openxmlformats.org/officeDocument/2006/relationships" name="Extrait_ETD" sheetId="6" r:id="R5d6f968cf2c84025"/>
    <x:sheet xmlns:r="http://schemas.openxmlformats.org/officeDocument/2006/relationships" name="Groupements" sheetId="7" r:id="R81cbe9e178de4358"/>
    <x:sheet xmlns:r="http://schemas.openxmlformats.org/officeDocument/2006/relationships" name="Villages" sheetId="8" r:id="Rf4bc38db8fd74bbd"/>
    <x:sheet xmlns:r="http://schemas.openxmlformats.org/officeDocument/2006/relationships" name="Groupes_Ethno" sheetId="9" r:id="R7b79d40bfecb40f7"/>
    <x:sheet xmlns:r="http://schemas.openxmlformats.org/officeDocument/2006/relationships" name="Langues" sheetId="10" r:id="Rb3d6b3c8371044df"/>
    <x:sheet xmlns:r="http://schemas.openxmlformats.org/officeDocument/2006/relationships" name="Implantations_Ethno" sheetId="11" r:id="Rf3f42ddd9945449f"/>
    <x:sheet xmlns:r="http://schemas.openxmlformats.org/officeDocument/2006/relationships" name="Staging_RGC" sheetId="12" r:id="R8e42bb7e81ee48e7"/>
    <x:sheet xmlns:r="http://schemas.openxmlformats.org/officeDocument/2006/relationships" name="Sources" sheetId="13" r:id="Re3b34bd79a9149cf"/>
    <x:sheet xmlns:r="http://schemas.openxmlformats.org/officeDocument/2006/relationships" name="QA" sheetId="14" r:id="R76fbea7a1c8242d7"/>
    <x:sheet xmlns:r="http://schemas.openxmlformats.org/officeDocument/2006/relationships" name="Dictionnaire" sheetId="15" r:id="Re09fb4615bf846c2"/>
    <x:sheet xmlns:r="http://schemas.openxmlformats.org/officeDocument/2006/relationships" name="Comparatif_ETD_2018_2025" sheetId="16" r:id="R6023356adea04323"/>
    <x:sheet xmlns:r="http://schemas.openxmlformats.org/officeDocument/2006/relationships" name="Staging_GRID3" sheetId="17" r:id="Rb4499bd79f0e4456"/>
    <x:sheet xmlns:r="http://schemas.openxmlformats.org/officeDocument/2006/relationships" name="Controle_CENI_GV" sheetId="18" r:id="Rc1607c79e5f6472e"/>
    <x:sheet xmlns:r="http://schemas.openxmlformats.org/officeDocument/2006/relationships" name="Pipeline_2B" sheetId="19" r:id="R52be2c8d82244af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9">
    <x:font>
      <x:sz val="11"/>
      <x:name val="Carlito"/>
    </x:font>
    <x:font>
      <x:b/>
      <x:sz val="16"/>
      <x:color rgb="FFFFFFFF"/>
      <x:name val="Carlito"/>
    </x:font>
    <x:font>
      <x:b/>
      <x:sz val="11"/>
      <x:color rgb="FF17365D"/>
      <x:name val="Carlito"/>
    </x:font>
    <x:font>
      <x:i/>
      <x:sz val="11"/>
      <x:color rgb="FF404040"/>
      <x:name val="Carlito"/>
    </x:font>
    <x:font>
      <x:b/>
      <x:sz val="11"/>
      <x:color rgb="FFFFFFFF"/>
      <x:name val="Carlito"/>
    </x:font>
    <x:font>
      <x:b/>
      <x:sz val="14"/>
      <x:color rgb="FFFFFFFF"/>
      <x:name val="Carlito"/>
    </x:font>
    <x:font>
      <x:i/>
      <x:sz val="11"/>
      <x:color rgb="FF1F1F1F"/>
      <x:name val="Carlito"/>
    </x:font>
    <x:font>
      <x:b/>
      <x:sz val="11"/>
      <x:name val="Carlito"/>
    </x:font>
    <x:font>
      <x:i/>
      <x:sz val="11"/>
      <x:name val="Carlito"/>
    </x:font>
  </x:fonts>
  <x:fills count="1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A"/>
      </x:patternFill>
    </x:fill>
    <x:fill>
      <x:patternFill patternType="solid">
        <x:fgColor rgb="FF1F4E78"/>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FFF2CC"/>
      </x:patternFill>
    </x:fill>
  </x:fills>
  <x:borders count="3">
    <x:border/>
    <x:border/>
    <x:border>
      <x:top style="thin">
        <x:color rgb="FF548235"/>
      </x:top>
    </x:border>
  </x:borders>
  <x:cellStyleXfs count="1">
    <x:xf numFmtId="0" fontId="0" fillId="0" borderId="0"/>
  </x:cellStyleXfs>
  <x:cellXfs count="8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0" fillId="0" borderId="0" xfId="0" applyNumberFormat="1" applyFont="1" applyFill="1" applyBorder="1"/>
    <x:xf numFmtId="0" fontId="1" fillId="7" borderId="0" xfId="0" applyNumberFormat="1" applyFont="1" applyFill="1" applyBorder="1" applyAlignment="1">
      <x:alignment vertical="center"/>
    </x:xf>
    <x:xf numFmtId="0" fontId="5" fillId="7" borderId="0" xfId="0" applyNumberFormat="1" applyFont="1" applyFill="1" applyBorder="1" applyAlignment="1">
      <x:alignment vertical="center"/>
    </x:xf>
    <x:xf numFmtId="0" fontId="3" fillId="8" borderId="0" xfId="0" applyNumberFormat="1" applyFont="1" applyFill="1" applyBorder="1" applyAlignment="1">
      <x:alignment wrapText="1"/>
    </x:xf>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4" fillId="9" borderId="0" xfId="0" applyNumberFormat="1" applyFont="1" applyFill="1" applyBorder="1" applyAlignment="1">
      <x:alignment horizontal="center" vertical="center" wrapText="1"/>
    </x:xf>
    <x:xf numFmtId="0" fontId="0" fillId="7" borderId="0" xfId="0" applyNumberFormat="1" applyFont="1" applyFill="1" applyBorder="1"/>
    <x:xf numFmtId="0" fontId="5" fillId="7" borderId="0"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horizontal="center" wrapText="1"/>
    </x:xf>
    <x:xf numFmtId="0" fontId="5" fillId="7"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3"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5" fillId="5" borderId="0" xfId="0" applyNumberFormat="1" applyFont="1" applyFill="1" applyBorder="1"/>
    <x:xf numFmtId="0" fontId="6" fillId="3" borderId="0" xfId="0" applyNumberFormat="1" applyFont="1" applyFill="1" applyBorder="1"/>
    <x:xf numFmtId="0" fontId="5" fillId="5" borderId="0" xfId="0" applyNumberFormat="1" applyFont="1" applyFill="1" applyBorder="1" applyAlignment="1">
      <x:alignment vertic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5" fillId="10" borderId="0" xfId="0" applyNumberFormat="1" applyFont="1" applyFill="1" applyBorder="1" applyAlignment="1">
      <x:alignment horizontal="center" vertical="center"/>
    </x:xf>
    <x:xf numFmtId="0" fontId="0" fillId="11" borderId="0" xfId="0" applyNumberFormat="1" applyFont="1" applyFill="1" applyBorder="1"/>
    <x:xf numFmtId="0" fontId="6" fillId="11" borderId="0" xfId="0" applyNumberFormat="1" applyFont="1" applyFill="1" applyBorder="1"/>
    <x:xf numFmtId="0" fontId="6" fillId="11" borderId="0" xfId="0" applyNumberFormat="1" applyFont="1" applyFill="1" applyBorder="1" applyAlignment="1">
      <x:alignment wrapText="1"/>
    </x:xf>
    <x:xf numFmtId="0" fontId="6" fillId="11" borderId="0" xfId="0" applyNumberFormat="1" applyFont="1" applyFill="1" applyBorder="1"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0" fontId="4" fillId="12" borderId="0" xfId="0" applyNumberFormat="1" applyFont="1" applyFill="1" applyBorder="1" applyAlignment="1">
      <x:alignment horizontal="center" vertical="center" wrapText="1"/>
    </x:xf>
    <x:xf numFmtId="0" fontId="0" fillId="13" borderId="0" xfId="0" applyNumberFormat="1" applyFont="1" applyFill="1" applyBorder="1"/>
    <x:xf numFmtId="0" fontId="7" fillId="13" borderId="0" xfId="0" applyNumberFormat="1" applyFont="1" applyFill="1" applyBorder="1"/>
    <x:xf numFmtId="0" fontId="7" fillId="13" borderId="2" xfId="0" applyNumberFormat="1" applyFont="1" applyFill="1" applyBorder="1"/>
    <x:xf numFmtId="200" fontId="0" fillId="0" borderId="0" xfId="0" applyNumberFormat="1" applyFont="1" applyFill="1" applyBorder="1"/>
    <x:xf numFmtId="200" fontId="7" fillId="13" borderId="2" xfId="0" applyNumberFormat="1" applyFont="1" applyFill="1" applyBorder="1"/>
    <x:xf numFmtId="201" fontId="0" fillId="0" borderId="0" xfId="0" applyNumberFormat="1" applyFont="1" applyFill="1" applyBorder="1"/>
    <x:xf numFmtId="201" fontId="7" fillId="13" borderId="2"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7" fillId="13" borderId="2" xfId="0" applyNumberFormat="1" applyFont="1" applyFill="1" applyBorder="1" applyAlignment="1">
      <x:alignment wrapText="1"/>
    </x:xf>
    <x:xf numFmtId="200" fontId="7" fillId="13" borderId="2" xfId="0" applyNumberFormat="1" applyFont="1" applyFill="1" applyBorder="1" applyAlignment="1">
      <x:alignment wrapText="1"/>
    </x:xf>
    <x:xf numFmtId="201" fontId="7" fillId="13" borderId="2" xfId="0" applyNumberFormat="1" applyFont="1" applyFill="1" applyBorder="1" applyAlignment="1">
      <x:alignment wrapText="1"/>
    </x:xf>
    <x:xf numFmtId="0" fontId="8" fillId="11" borderId="0" xfId="0" applyNumberFormat="1" applyFont="1" applyFill="1" applyBorder="1"/>
    <x:xf numFmtId="0" fontId="8" fillId="11" borderId="0" xfId="0" applyNumberFormat="1" applyFont="1" applyFill="1" applyBorder="1" applyAlignment="1">
      <x:alignment wrapText="1"/>
    </x:xf>
    <x:xf numFmtId="0" fontId="0" fillId="14" borderId="0" xfId="0" applyNumberFormat="1" applyFont="1" applyFill="1" applyBorder="1" applyAlignment="1">
      <x:alignment wrapText="1"/>
    </x:xf>
  </x:cellXfs>
  <x:cellStyles count="1">
    <x:cellStyle name="Normal" xfId="0"/>
  </x:cellStyles>
  <x:dxfs count="2">
    <x:dxf>
      <x:font>
        <x:b/>
        <x:color rgb="FFC00000"/>
      </x:font>
      <x:fill>
        <x:patternFill>
          <x:bgColor rgb="FFFCE8E6"/>
        </x:patternFill>
      </x:fill>
    </x:dxf>
    <x:dxf>
      <x:font>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7f2138b457f46a0" /><Relationship Type="http://schemas.openxmlformats.org/officeDocument/2006/relationships/theme" Target="/xl/theme/theme1.xml" Id="R1eccf83d3ff8421d" /><Relationship Type="http://schemas.openxmlformats.org/officeDocument/2006/relationships/sharedStrings" Target="/xl/sharedStrings.xml" Id="R8b134a0b443642f6" /><Relationship Type="http://schemas.openxmlformats.org/officeDocument/2006/relationships/worksheet" Target="/xl/worksheets/sheet1.xml" Id="R4de3df37deb94594" /><Relationship Type="http://schemas.openxmlformats.org/officeDocument/2006/relationships/worksheet" Target="/xl/worksheets/sheet2.xml" Id="R14c4527cdae64cfc" /><Relationship Type="http://schemas.openxmlformats.org/officeDocument/2006/relationships/worksheet" Target="/xl/worksheets/sheet3.xml" Id="R3410d441bd234d53" /><Relationship Type="http://schemas.openxmlformats.org/officeDocument/2006/relationships/worksheet" Target="/xl/worksheets/sheet4.xml" Id="R1eecbbe9ac7948d8" /><Relationship Type="http://schemas.openxmlformats.org/officeDocument/2006/relationships/worksheet" Target="/xl/worksheets/sheet5.xml" Id="R2f80e3d7f1cb4238" /><Relationship Type="http://schemas.openxmlformats.org/officeDocument/2006/relationships/worksheet" Target="/xl/worksheets/sheet6.xml" Id="R5d6f968cf2c84025" /><Relationship Type="http://schemas.openxmlformats.org/officeDocument/2006/relationships/worksheet" Target="/xl/worksheets/sheet7.xml" Id="R81cbe9e178de4358" /><Relationship Type="http://schemas.openxmlformats.org/officeDocument/2006/relationships/worksheet" Target="/xl/worksheets/sheet8.xml" Id="Rf4bc38db8fd74bbd" /><Relationship Type="http://schemas.openxmlformats.org/officeDocument/2006/relationships/worksheet" Target="/xl/worksheets/sheet9.xml" Id="R7b79d40bfecb40f7" /><Relationship Type="http://schemas.openxmlformats.org/officeDocument/2006/relationships/worksheet" Target="/xl/worksheets/sheet10.xml" Id="Rb3d6b3c8371044df" /><Relationship Type="http://schemas.openxmlformats.org/officeDocument/2006/relationships/worksheet" Target="/xl/worksheets/sheet11.xml" Id="Rf3f42ddd9945449f" /><Relationship Type="http://schemas.openxmlformats.org/officeDocument/2006/relationships/worksheet" Target="/xl/worksheets/sheet12.xml" Id="R8e42bb7e81ee48e7" /><Relationship Type="http://schemas.openxmlformats.org/officeDocument/2006/relationships/worksheet" Target="/xl/worksheets/sheet13.xml" Id="Re3b34bd79a9149cf" /><Relationship Type="http://schemas.openxmlformats.org/officeDocument/2006/relationships/worksheet" Target="/xl/worksheets/sheet14.xml" Id="R76fbea7a1c8242d7" /><Relationship Type="http://schemas.openxmlformats.org/officeDocument/2006/relationships/worksheet" Target="/xl/worksheets/sheet15.xml" Id="Re09fb4615bf846c2" /><Relationship Type="http://schemas.openxmlformats.org/officeDocument/2006/relationships/worksheet" Target="/xl/worksheets/sheet16.xml" Id="R6023356adea04323" /><Relationship Type="http://schemas.openxmlformats.org/officeDocument/2006/relationships/worksheet" Target="/xl/worksheets/sheet17.xml" Id="Rb4499bd79f0e4456" /><Relationship Type="http://schemas.openxmlformats.org/officeDocument/2006/relationships/worksheet" Target="/xl/worksheets/sheet18.xml" Id="Rc1607c79e5f6472e" /><Relationship Type="http://schemas.openxmlformats.org/officeDocument/2006/relationships/worksheet" Target="/xl/worksheets/sheet19.xml" Id="R52be2c8d82244a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733a909c48f465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Couverture actuelle des niveaux normalisés</a:t>
            </a:r>
          </a:p>
        </c:rich>
      </c:tx>
    </c:title>
    <c:plotArea>
      <c:barChart>
        <c:barDir val="col"/>
        <c:varyColors val="0"/>
        <c:ser>
          <c:idx val="0"/>
          <c:order val="0"/>
          <c:tx>
            <c:v>Référence</c:v>
          </c:tx>
          <c:cat>
            <c:strRef>
              <c:f>'Couverture'!$H$4:$H$6</c:f>
              <c:strCache>
                <c:ptCount val="0"/>
              </c:strCache>
            </c:strRef>
          </c:cat>
          <c:val>
            <c:numRef>
              <c:f>'Couverture'!$I$4:$I$6</c:f>
              <c:numCache>
                <c:formatCode>General</c:formatCode>
                <c:ptCount val="0"/>
              </c:numCache>
            </c:numRef>
          </c:val>
        </c:ser>
        <c:ser>
          <c:idx val="1"/>
          <c:order val="1"/>
          <c:tx>
            <c:v>Chargé</c:v>
          </c:tx>
          <c:cat>
            <c:strRef>
              <c:f>'Couverture'!$H$4:$H$6</c:f>
              <c:strCache>
                <c:ptCount val="0"/>
              </c:strCache>
            </c:strRef>
          </c:cat>
          <c:val>
            <c:numRef>
              <c:f>'Couverture'!$J$4:$J$6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733a909c48f465b"/>
        </a:graphicData>
      </a:graphic>
    </xdr:graphicFrame>
    <xdr:clientData/>
  </xdr:twoCellAnchor>
</xdr:wsDr>
</file>

<file path=xl/tables/table1.xml><?xml version="1.0" encoding="utf-8"?>
<x:table xmlns:x="http://schemas.openxmlformats.org/spreadsheetml/2006/main" id="1" name="CoverageTable" displayName="CoverageTable" ref="A3:F10" headerRowCount="1" totalsRowCount="0" totalsRowShown="0">
  <x:tableColumns count="6">
    <x:tableColumn id="1" name="Niveau"/>
    <x:tableColumn id="2" name="Référence/attendu"/>
    <x:tableColumn id="3" name="Chargé"/>
    <x:tableColumn id="4" name="Couverture"/>
    <x:tableColumn id="5" name="État"/>
    <x:tableColumn id="6" name="Sources"/>
  </x:tableColumns>
  <x:tableStyleInfo name="TableStyleMedium2" showFirstColumn="0" showLastColumn="0" showRowStripes="1" showColumnStripes="0"/>
</x:table>
</file>

<file path=xl/tables/table2.xml><?xml version="1.0" encoding="utf-8"?>
<x:table xmlns:x="http://schemas.openxmlformats.org/spreadsheetml/2006/main" id="2" name="ProvincesTable" displayName="ProvincesTable" ref="A3:K29" headerRowCount="1" totalsRowCount="0" totalsRowShown="0">
  <x:tableColumns count="11">
    <x:tableColumn id="1" name="province_id"/>
    <x:tableColumn id="2" name="code_interne"/>
    <x:tableColumn id="3" name="nom_province"/>
    <x:tableColumn id="4" name="chef_lieu"/>
    <x:tableColumn id="5" name="prefixe_pcode"/>
    <x:tableColumn id="6" name="nb_territoires_calcule"/>
    <x:tableColumn id="7" name="nb_secteurs_source"/>
    <x:tableColumn id="8" name="nb_chefferies_source"/>
    <x:tableColumn id="9" name="nb_etd_total_source"/>
    <x:tableColumn id="10" name="statut_couverture"/>
    <x:tableColumn id="11" name="sources"/>
  </x:tableColumns>
  <x:tableStyleInfo name="TableStyleMedium2" showFirstColumn="0" showLastColumn="0" showRowStripes="1" showColumnStripes="0"/>
</x:table>
</file>

<file path=xl/tables/table3.xml><?xml version="1.0" encoding="utf-8"?>
<x:table xmlns:x="http://schemas.openxmlformats.org/spreadsheetml/2006/main" id="3" name="TerritoiresTable" displayName="TerritoiresTable" ref="A3:K148" headerRowCount="1" totalsRowCount="0" totalsRowShown="0">
  <x:tableColumns count="11">
    <x:tableColumn id="1" name="territoire_id"/>
    <x:tableColumn id="2" name="province_id"/>
    <x:tableColumn id="3" name="province"/>
    <x:tableColumn id="4" name="nom_territoire"/>
    <x:tableColumn id="5" name="code_interne"/>
    <x:tableColumn id="6" name="pcode_reference_brut"/>
    <x:tableColumn id="7" name="prefixe_attendu"/>
    <x:tableColumn id="8" name="statut_pcode"/>
    <x:tableColumn id="9" name="source_pcode"/>
    <x:tableColumn id="10" name="commentaire_qa"/>
    <x:tableColumn id="11" name="date_integration"/>
  </x:tableColumns>
  <x:tableStyleInfo name="TableStyleMedium2" showFirstColumn="0" showLastColumn="0" showRowStripes="1" showColumnStripes="0"/>
</x:table>
</file>

<file path=xl/tables/table4.xml><?xml version="1.0" encoding="utf-8"?>
<x:table xmlns:x="http://schemas.openxmlformats.org/spreadsheetml/2006/main" id="4" name="ExtraitETDTable" displayName="ExtraitETDTable" ref="A3:I34" headerRowCount="1" totalsRowCount="0" totalsRowShown="0">
  <x:tableColumns count="9">
    <x:tableColumn id="1" name="extrait_id"/>
    <x:tableColumn id="2" name="province_id"/>
    <x:tableColumn id="3" name="province"/>
    <x:tableColumn id="4" name="territoire"/>
    <x:tableColumn id="5" name="type_entite"/>
    <x:tableColumn id="6" name="nom_entite"/>
    <x:tableColumn id="7" name="annee_source"/>
    <x:tableColumn id="8" name="source_id"/>
    <x:tableColumn id="9" name="statut_validation"/>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3:G14" headerRowCount="1" totalsRowCount="0" totalsRowShown="0">
  <x:tableColumns count="7">
    <x:tableColumn id="1" name="source_id"/>
    <x:tableColumn id="2" name="nom_source"/>
    <x:tableColumn id="3" name="type_source"/>
    <x:tableColumn id="4" name="usage_prevu"/>
    <x:tableColumn id="5" name="url"/>
    <x:tableColumn id="6" name="date_consultation"/>
    <x:tableColumn id="7" name="notes"/>
  </x:tableColumns>
  <x:tableStyleInfo name="TableStyleMedium2" showFirstColumn="0" showLastColumn="0" showRowStripes="1" showColumnStripes="0"/>
</x:table>
</file>

<file path=xl/tables/table6.xml><?xml version="1.0" encoding="utf-8"?>
<x:table xmlns:x="http://schemas.openxmlformats.org/spreadsheetml/2006/main" id="6" name="QATable" displayName="QATable" ref="A3:H9" headerRowCount="1" totalsRowCount="0" totalsRowShown="0">
  <x:tableColumns count="8">
    <x:tableColumn id="1" name="qa_id"/>
    <x:tableColumn id="2" name="categorie"/>
    <x:tableColumn id="3" name="portee"/>
    <x:tableColumn id="4" name="probleme"/>
    <x:tableColumn id="5" name="severite"/>
    <x:tableColumn id="6" name="action_recommandee"/>
    <x:tableColumn id="7" name="statut"/>
    <x:tableColumn id="8" name="sources"/>
  </x:tableColumns>
  <x:tableStyleInfo name="TableStyleMedium2" showFirstColumn="0" showLastColumn="0" showRowStripes="1" showColumnStripes="0"/>
</x:table>
</file>

<file path=xl/tables/table7.xml><?xml version="1.0" encoding="utf-8"?>
<x:table xmlns:x="http://schemas.openxmlformats.org/spreadsheetml/2006/main" id="7" name="DictionaryTable" displayName="DictionaryTable" ref="A3:D15" headerRowCount="1" totalsRowCount="0" totalsRowShown="0">
  <x:tableColumns count="4">
    <x:tableColumn id="1" name="table"/>
    <x:tableColumn id="2" name="champ"/>
    <x:tableColumn id="3" name="rôle/type"/>
    <x:tableColumn id="4"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bc534fb114c4c1c" /><Relationship Type="http://schemas.openxmlformats.org/officeDocument/2006/relationships/table" Target="/xl/tables/table1.xml" Id="R6938e6f4a5b94cfb" /></Relationships>
</file>

<file path=xl/worksheets/_rels/sheet3.xml.rels>&#65279;<?xml version="1.0" encoding="utf-8"?><Relationships xmlns="http://schemas.openxmlformats.org/package/2006/relationships"><Relationship Type="http://schemas.openxmlformats.org/officeDocument/2006/relationships/table" Target="/xl/tables/table2.xml" Id="R4086898358b14471" /></Relationships>
</file>

<file path=xl/worksheets/_rels/sheet4.xml.rels>&#65279;<?xml version="1.0" encoding="utf-8"?><Relationships xmlns="http://schemas.openxmlformats.org/package/2006/relationships"><Relationship Type="http://schemas.openxmlformats.org/officeDocument/2006/relationships/table" Target="/xl/tables/table3.xml" Id="R5d477643e8894932" /></Relationships>
</file>

<file path=xl/worksheets/_rels/sheet6.xml.rels>&#65279;<?xml version="1.0" encoding="utf-8"?><Relationships xmlns="http://schemas.openxmlformats.org/package/2006/relationships"><Relationship Type="http://schemas.openxmlformats.org/officeDocument/2006/relationships/table" Target="/xl/tables/table4.xml" Id="Re363ce9ffc564f3c" /></Relationships>
</file>

<file path=xl/worksheets/_rels/sheet13.xml.rels>&#65279;<?xml version="1.0" encoding="utf-8"?><Relationships xmlns="http://schemas.openxmlformats.org/package/2006/relationships"><Relationship Type="http://schemas.openxmlformats.org/officeDocument/2006/relationships/table" Target="/xl/tables/table5.xml" Id="Ra2790983819f4e89" /></Relationships>
</file>

<file path=xl/worksheets/_rels/sheet14.xml.rels>&#65279;<?xml version="1.0" encoding="utf-8"?><Relationships xmlns="http://schemas.openxmlformats.org/package/2006/relationships"><Relationship Type="http://schemas.openxmlformats.org/officeDocument/2006/relationships/table" Target="/xl/tables/table6.xml" Id="R64563061b77747ec" /></Relationships>
</file>

<file path=xl/worksheets/_rels/sheet15.xml.rels>&#65279;<?xml version="1.0" encoding="utf-8"?><Relationships xmlns="http://schemas.openxmlformats.org/package/2006/relationships"><Relationship Type="http://schemas.openxmlformats.org/officeDocument/2006/relationships/table" Target="/xl/tables/table7.xml" Id="R641d20e5ab874143" /></Relationships>
</file>

<file path=xl/worksheets/sheet1.xml><?xml version="1.0" encoding="utf-8"?>
<x:worksheet xmlns:x="http://schemas.openxmlformats.org/spreadsheetml/2006/main">
  <x:sheetFormatPr defaultRowHeight="15"/>
  <x:cols>
    <x:col min="1" max="1" width="24" hidden="0" customWidth="1"/>
    <x:col min="2" max="2" width="90" hidden="0" customWidth="1"/>
  </x:cols>
  <x:sheetData>
    <x:row r="1" ht="32" customHeight="1">
      <x:c r="A1" s="50" t="str">
        <x:v>SIGPOP-RDC — Référentiel territorial, géographique et ethnolinguistique</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4"/>
      <x:c r="B2" s="14"/>
      <x:c r="C2" s="14"/>
      <x:c r="D2" s="14"/>
      <x:c r="E2" s="14"/>
      <x:c r="F2" s="14"/>
      <x:c r="G2" s="14"/>
      <x:c r="H2" s="14"/>
      <x:c r="I2" s="14"/>
      <x:c r="J2" s="14"/>
      <x:c r="K2" s="14"/>
      <x:c r="L2" s="14"/>
      <x:c r="M2" s="14"/>
      <x:c r="N2" s="14"/>
      <x:c r="O2" s="14"/>
      <x:c r="P2" s="14"/>
      <x:c r="Q2" s="14"/>
      <x:c r="R2" s="14"/>
      <x:c r="S2" s="14"/>
      <x:c r="T2" s="14"/>
      <x:c r="U2" s="14"/>
      <x:c r="V2" s="14"/>
      <x:c r="W2" s="14"/>
      <x:c r="X2" s="14"/>
      <x:c r="Y2" s="14"/>
      <x:c r="Z2" s="14"/>
    </x:row>
    <x:row r="3">
      <x:c r="A3" s="10" t="str">
        <x:v>Objet</x:v>
      </x:c>
      <x:c r="B3" s="14" t="str">
        <x:v>Construire progressivement la base nationale Province → Territoire → Secteur/Chefferie → Groupement → Village → Groupe ethnolinguistique → Langue.</x:v>
      </x:c>
      <x:c r="C3" s="14"/>
      <x:c r="D3" s="14"/>
      <x:c r="E3" s="14"/>
      <x:c r="F3" s="14"/>
      <x:c r="G3" s="14"/>
      <x:c r="H3" s="14"/>
      <x:c r="I3" s="14"/>
      <x:c r="J3" s="14"/>
      <x:c r="K3" s="14"/>
      <x:c r="L3" s="14"/>
      <x:c r="M3" s="14"/>
      <x:c r="N3" s="14"/>
      <x:c r="O3" s="14"/>
      <x:c r="P3" s="14"/>
      <x:c r="Q3" s="14"/>
      <x:c r="R3" s="14"/>
      <x:c r="S3" s="14"/>
      <x:c r="T3" s="14"/>
      <x:c r="U3" s="14"/>
      <x:c r="V3" s="14"/>
      <x:c r="W3" s="14"/>
      <x:c r="X3" s="14"/>
      <x:c r="Y3" s="14"/>
      <x:c r="Z3" s="14"/>
    </x:row>
    <x:row r="4">
      <x:c r="A4" s="10" t="str">
        <x:v>Couverture Phase 2B</x:v>
      </x:c>
      <x:c r="B4" s="14" t="str">
        <x:v>26/26 provinces, 145/145 territoires et 734 secteurs/chefferies déjà structurés. Référence CENI ajoutée : 5 910 groupements et 87 710 villages (contrôle historique). Les noms détaillés des groupements/villages ne sont pas inventés : import RGC/CENI requis avant promotion.</x:v>
      </x:c>
      <x:c r="C4" s="14"/>
      <x:c r="D4" s="14"/>
      <x:c r="E4" s="14"/>
      <x:c r="F4" s="14"/>
      <x:c r="G4" s="14"/>
      <x:c r="H4" s="14"/>
      <x:c r="I4" s="14"/>
      <x:c r="J4" s="14"/>
      <x:c r="K4" s="14"/>
      <x:c r="L4" s="14"/>
      <x:c r="M4" s="14"/>
      <x:c r="N4" s="14"/>
      <x:c r="O4" s="14"/>
      <x:c r="P4" s="14"/>
      <x:c r="Q4" s="14"/>
      <x:c r="R4" s="14"/>
      <x:c r="S4" s="14"/>
      <x:c r="T4" s="14"/>
      <x:c r="U4" s="14"/>
      <x:c r="V4" s="14"/>
      <x:c r="W4" s="14"/>
      <x:c r="X4" s="14"/>
      <x:c r="Y4" s="14"/>
      <x:c r="Z4" s="14"/>
    </x:row>
    <x:row r="5">
      <x:c r="A5" s="10" t="str">
        <x:v>Principe scientifique</x:v>
      </x:c>
      <x:c r="B5" s="14" t="str">
        <x:v>Ne pas imposer une seule « tribu » ou une seule langue à un secteur. Les relations ethnolinguistiques sont plusieurs-à-plusieurs et sourcées.</x:v>
      </x:c>
      <x:c r="C5" s="14"/>
      <x:c r="D5" s="14"/>
      <x:c r="E5" s="14"/>
      <x:c r="F5" s="14"/>
      <x:c r="G5" s="14"/>
      <x:c r="H5" s="14"/>
      <x:c r="I5" s="14"/>
      <x:c r="J5" s="14"/>
      <x:c r="K5" s="14"/>
      <x:c r="L5" s="14"/>
      <x:c r="M5" s="14"/>
      <x:c r="N5" s="14"/>
      <x:c r="O5" s="14"/>
      <x:c r="P5" s="14"/>
      <x:c r="Q5" s="14"/>
      <x:c r="R5" s="14"/>
      <x:c r="S5" s="14"/>
      <x:c r="T5" s="14"/>
      <x:c r="U5" s="14"/>
      <x:c r="V5" s="14"/>
      <x:c r="W5" s="14"/>
      <x:c r="X5" s="14"/>
      <x:c r="Y5" s="14"/>
      <x:c r="Z5" s="14"/>
    </x:row>
    <x:row r="6">
      <x:c r="A6" s="10" t="str">
        <x:v>Coordonnées</x:v>
      </x:c>
      <x:c r="B6" s="14" t="str">
        <x:v>RGC prévoit la hiérarchie territoire → secteur/chefferie → groupement → localité et des coordonnées WGS84. GRID3 v9.0 fournit une couche récente de 128 236 points de peuplement nommés.</x:v>
      </x:c>
      <x:c r="C6" s="14"/>
      <x:c r="D6" s="14"/>
      <x:c r="E6" s="14"/>
      <x:c r="F6" s="14"/>
      <x:c r="G6" s="14"/>
      <x:c r="H6" s="14"/>
      <x:c r="I6" s="14"/>
      <x:c r="J6" s="14"/>
      <x:c r="K6" s="14"/>
      <x:c r="L6" s="14"/>
      <x:c r="M6" s="14"/>
      <x:c r="N6" s="14"/>
      <x:c r="O6" s="14"/>
      <x:c r="P6" s="14"/>
      <x:c r="Q6" s="14"/>
      <x:c r="R6" s="14"/>
      <x:c r="S6" s="14"/>
      <x:c r="T6" s="14"/>
      <x:c r="U6" s="14"/>
      <x:c r="V6" s="14"/>
      <x:c r="W6" s="14"/>
      <x:c r="X6" s="14"/>
      <x:c r="Y6" s="14"/>
      <x:c r="Z6" s="14"/>
    </x:row>
    <x:row r="7">
      <x:c r="A7" s="10" t="str">
        <x:v>PCodes</x:v>
      </x:c>
      <x:c r="B7" s="14" t="str">
        <x:v>Les PCodes de territoire de cette version sont des valeurs brutes de travail provenant d’une source secondaire; statut À VALIDER.</x:v>
      </x:c>
      <x:c r="C7" s="14"/>
      <x:c r="D7" s="14"/>
      <x:c r="E7" s="14"/>
      <x:c r="F7" s="14"/>
      <x:c r="G7" s="14"/>
      <x:c r="H7" s="14"/>
      <x:c r="I7" s="14"/>
      <x:c r="J7" s="14"/>
      <x:c r="K7" s="14"/>
      <x:c r="L7" s="14"/>
      <x:c r="M7" s="14"/>
      <x:c r="N7" s="14"/>
      <x:c r="O7" s="14"/>
      <x:c r="P7" s="14"/>
      <x:c r="Q7" s="14"/>
      <x:c r="R7" s="14"/>
      <x:c r="S7" s="14"/>
      <x:c r="T7" s="14"/>
      <x:c r="U7" s="14"/>
      <x:c r="V7" s="14"/>
      <x:c r="W7" s="14"/>
      <x:c r="X7" s="14"/>
      <x:c r="Y7" s="14"/>
      <x:c r="Z7" s="14"/>
    </x:row>
    <x:row r="8">
      <x:c r="A8" s="10" t="str">
        <x:v>Niveaux à compléter</x:v>
      </x:c>
      <x:c r="B8" s="14" t="str">
        <x:v>Les références quantitatives CENI sont intégrées, mais les 5 910 noms de groupements et 87 710 noms de villages doivent encore être acquis/importés d’une source détaillée puis rapprochés. Aucun nom n’est fabriqué.</x:v>
      </x:c>
      <x:c r="C8" s="14"/>
      <x:c r="D8" s="14"/>
      <x:c r="E8" s="14"/>
      <x:c r="F8" s="14"/>
      <x:c r="G8" s="14"/>
      <x:c r="H8" s="14"/>
      <x:c r="I8" s="14"/>
      <x:c r="J8" s="14"/>
      <x:c r="K8" s="14"/>
      <x:c r="L8" s="14"/>
      <x:c r="M8" s="14"/>
      <x:c r="N8" s="14"/>
      <x:c r="O8" s="14"/>
      <x:c r="P8" s="14"/>
      <x:c r="Q8" s="14"/>
      <x:c r="R8" s="14"/>
      <x:c r="S8" s="14"/>
      <x:c r="T8" s="14"/>
      <x:c r="U8" s="14"/>
      <x:c r="V8" s="14"/>
      <x:c r="W8" s="14"/>
      <x:c r="X8" s="14"/>
      <x:c r="Y8" s="14"/>
      <x:c r="Z8" s="14"/>
    </x:row>
    <x:row r="9">
      <x:c r="A9" s="10" t="str">
        <x:v>PostgreSQL</x:v>
      </x:c>
      <x:c r="B9" s="14" t="str">
        <x:v>La Phase 2B ajoute les tables de référence CENI, le staging GRID3, les contrôles de couverture et un pipeline ETL de rapprochement.</x:v>
      </x:c>
      <x:c r="C9" s="14"/>
      <x:c r="D9" s="14"/>
      <x:c r="E9" s="14"/>
      <x:c r="F9" s="14"/>
      <x:c r="G9" s="14"/>
      <x:c r="H9" s="14"/>
      <x:c r="I9" s="14"/>
      <x:c r="J9" s="14"/>
      <x:c r="K9" s="14"/>
      <x:c r="L9" s="14"/>
      <x:c r="M9" s="14"/>
      <x:c r="N9" s="14"/>
      <x:c r="O9" s="14"/>
      <x:c r="P9" s="14"/>
      <x:c r="Q9" s="14"/>
      <x:c r="R9" s="14"/>
      <x:c r="S9" s="14"/>
      <x:c r="T9" s="14"/>
      <x:c r="U9" s="14"/>
      <x:c r="V9" s="14"/>
      <x:c r="W9" s="14"/>
      <x:c r="X9" s="14"/>
      <x:c r="Y9" s="14"/>
      <x:c r="Z9" s="14"/>
    </x:row>
    <x:row r="10">
      <x:c r="A10" s="14" t="str">
        <x:v>GRID3 v9</x:v>
      </x:c>
      <x:c r="B10" s="14" t="str">
        <x:v>Settlement Names v9.0 (août 2026) : 128 236 points. Ils sont une couche géographique d’enrichissement et non une nomenclature administrative de 128 236 villages.</x:v>
      </x:c>
      <x:c r="C10" s="14"/>
      <x:c r="D10" s="14"/>
      <x:c r="E10" s="14"/>
      <x:c r="F10" s="14"/>
      <x:c r="G10" s="14"/>
      <x:c r="H10" s="14"/>
      <x:c r="I10" s="14"/>
      <x:c r="J10" s="14"/>
      <x:c r="K10" s="14"/>
      <x:c r="L10" s="14"/>
      <x:c r="M10" s="14"/>
      <x:c r="N10" s="14"/>
      <x:c r="O10" s="14"/>
      <x:c r="P10" s="14"/>
      <x:c r="Q10" s="14"/>
      <x:c r="R10" s="14"/>
      <x:c r="S10" s="14"/>
      <x:c r="T10" s="14"/>
      <x:c r="U10" s="14"/>
      <x:c r="V10" s="14"/>
      <x:c r="W10" s="14"/>
      <x:c r="X10" s="14"/>
      <x:c r="Y10" s="14"/>
      <x:c r="Z10" s="14"/>
    </x:row>
    <x:row r="11">
      <x:c r="A11" s="14"/>
      <x:c r="B11" s="14"/>
      <x:c r="C11" s="14"/>
      <x:c r="D11" s="14"/>
      <x:c r="E11" s="14"/>
      <x:c r="F11" s="14"/>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18" hidden="0" customWidth="1"/>
    <x:col min="3" max="3" width="14" hidden="0" customWidth="1"/>
    <x:col min="4" max="4" width="12" hidden="0" customWidth="1"/>
    <x:col min="5" max="5" width="52" hidden="0" customWidth="1"/>
    <x:col min="6" max="6" width="18" hidden="0" customWidth="1"/>
  </x:cols>
  <x:sheetData>
    <x:row r="1" ht="28" customHeight="1">
      <x:c r="A1" s="49" t="str">
        <x:v>Couverture des données — Phase 2A</x:v>
      </x:c>
      <x:c r="B1" s="49"/>
      <x:c r="C1" s="49"/>
      <x:c r="D1" s="49"/>
      <x:c r="E1" s="49"/>
      <x:c r="F1" s="49"/>
      <x:c r="G1" s="14"/>
      <x:c r="H1" s="14"/>
      <x:c r="I1" s="14"/>
      <x:c r="J1" s="14"/>
      <x:c r="K1" s="14"/>
      <x:c r="L1" s="14"/>
      <x:c r="M1" s="14"/>
      <x:c r="N1" s="14"/>
      <x:c r="O1" s="14"/>
      <x:c r="P1" s="14"/>
      <x:c r="Q1" s="14"/>
      <x:c r="R1" s="14"/>
      <x:c r="S1" s="14"/>
      <x:c r="T1" s="14"/>
      <x:c r="U1" s="14"/>
      <x:c r="V1" s="14"/>
      <x:c r="W1" s="14"/>
      <x:c r="X1" s="14"/>
      <x:c r="Y1" s="14"/>
      <x:c r="Z1" s="14"/>
    </x:row>
    <x:row r="2">
      <x:c r="A2" s="18" t="str">
        <x:v>Les valeurs « chargé » reflètent uniquement les enregistrements effectivement intégrés et contrôlables dans cette livraison.</x:v>
      </x:c>
      <x:c r="B2" s="18"/>
      <x:c r="C2" s="18"/>
      <x:c r="D2" s="18"/>
      <x:c r="E2" s="18"/>
      <x:c r="F2" s="18"/>
      <x:c r="G2" s="14"/>
      <x:c r="H2" s="14"/>
      <x:c r="I2" s="14"/>
      <x:c r="J2" s="14"/>
      <x:c r="K2" s="14"/>
      <x:c r="L2" s="14"/>
      <x:c r="M2" s="14"/>
      <x:c r="N2" s="14"/>
      <x:c r="O2" s="14"/>
      <x:c r="P2" s="14"/>
      <x:c r="Q2" s="14"/>
      <x:c r="R2" s="14"/>
      <x:c r="S2" s="14"/>
      <x:c r="T2" s="14"/>
      <x:c r="U2" s="14"/>
      <x:c r="V2" s="14"/>
      <x:c r="W2" s="14"/>
      <x:c r="X2" s="14"/>
      <x:c r="Y2" s="14"/>
      <x:c r="Z2" s="14"/>
    </x:row>
    <x:row r="3">
      <x:c r="A3" s="26" t="str">
        <x:v>Niveau</x:v>
      </x:c>
      <x:c r="B3" s="26" t="str">
        <x:v>Référence/attendu</x:v>
      </x:c>
      <x:c r="C3" s="26" t="str">
        <x:v>Chargé</x:v>
      </x:c>
      <x:c r="D3" s="26" t="str">
        <x:v>Couverture</x:v>
      </x:c>
      <x:c r="E3" s="26" t="str">
        <x:v>État</x:v>
      </x:c>
      <x:c r="F3" s="26" t="str">
        <x:v>Sources</x:v>
      </x:c>
      <x:c r="G3" s="14"/>
      <x:c r="H3" s="26" t="str">
        <x:v>Niveau</x:v>
      </x:c>
      <x:c r="I3" s="26" t="str">
        <x:v>Référence</x:v>
      </x:c>
      <x:c r="J3" s="26" t="str">
        <x:v>Chargé</x:v>
      </x:c>
      <x:c r="K3" s="14"/>
      <x:c r="L3" s="14"/>
      <x:c r="M3" s="14"/>
      <x:c r="N3" s="14"/>
      <x:c r="O3" s="14"/>
      <x:c r="P3" s="14"/>
      <x:c r="Q3" s="14"/>
      <x:c r="R3" s="14"/>
      <x:c r="S3" s="14"/>
      <x:c r="T3" s="14"/>
      <x:c r="U3" s="14"/>
      <x:c r="V3" s="14"/>
      <x:c r="W3" s="14"/>
      <x:c r="X3" s="14"/>
      <x:c r="Y3" s="14"/>
      <x:c r="Z3" s="14"/>
    </x:row>
    <x:row r="4">
      <x:c r="A4" s="14" t="str">
        <x:v>Province</x:v>
      </x:c>
      <x:c r="B4" s="14" t="n">
        <x:v>26</x:v>
      </x:c>
      <x:c r="C4" s="14" t="n">
        <x:v>26</x:v>
      </x:c>
      <x:c r="D4" s="14" t="str">
        <x:v>100%</x:v>
      </x:c>
      <x:c r="E4" s="14" t="str">
        <x:v>Chargé et structuré</x:v>
      </x:c>
      <x:c r="F4" s="14" t="str">
        <x:v>S01</x:v>
      </x:c>
      <x:c r="G4" s="14"/>
      <x:c r="H4" s="14" t="str">
        <x:v>Province</x:v>
      </x:c>
      <x:c r="I4" s="14" t="n">
        <x:v>26</x:v>
      </x:c>
      <x:c r="J4" s="14" t="n">
        <x:v>26</x:v>
      </x:c>
      <x:c r="K4" s="14"/>
      <x:c r="L4" s="14"/>
      <x:c r="M4" s="14"/>
      <x:c r="N4" s="14"/>
      <x:c r="O4" s="14"/>
      <x:c r="P4" s="14"/>
      <x:c r="Q4" s="14"/>
      <x:c r="R4" s="14"/>
      <x:c r="S4" s="14"/>
      <x:c r="T4" s="14"/>
      <x:c r="U4" s="14"/>
      <x:c r="V4" s="14"/>
      <x:c r="W4" s="14"/>
      <x:c r="X4" s="14"/>
      <x:c r="Y4" s="14"/>
      <x:c r="Z4" s="14"/>
    </x:row>
    <x:row r="5">
      <x:c r="A5" s="14" t="str">
        <x:v>Territoire</x:v>
      </x:c>
      <x:c r="B5" s="14" t="n">
        <x:v>145</x:v>
      </x:c>
      <x:c r="C5" s="14" t="n">
        <x:v>145</x:v>
      </x:c>
      <x:c r="D5" s="14" t="str">
        <x:v>100%</x:v>
      </x:c>
      <x:c r="E5" s="14" t="str">
        <x:v>Chargé; PCodes de travail à valider</x:v>
      </x:c>
      <x:c r="F5" s="14" t="str">
        <x:v>S01;S04;S05</x:v>
      </x:c>
      <x:c r="G5" s="14"/>
      <x:c r="H5" s="14" t="str">
        <x:v>Territoire</x:v>
      </x:c>
      <x:c r="I5" s="14" t="n">
        <x:v>145</x:v>
      </x:c>
      <x:c r="J5" s="14" t="n">
        <x:v>145</x:v>
      </x:c>
      <x:c r="K5" s="14"/>
      <x:c r="L5" s="14"/>
      <x:c r="M5" s="14"/>
      <x:c r="N5" s="14"/>
      <x:c r="O5" s="14"/>
      <x:c r="P5" s="14"/>
      <x:c r="Q5" s="14"/>
      <x:c r="R5" s="14"/>
      <x:c r="S5" s="14"/>
      <x:c r="T5" s="14"/>
      <x:c r="U5" s="14"/>
      <x:c r="V5" s="14"/>
      <x:c r="W5" s="14"/>
      <x:c r="X5" s="14"/>
      <x:c r="Y5" s="14"/>
      <x:c r="Z5" s="14"/>
    </x:row>
    <x:row r="6">
      <x:c r="A6" s="14" t="str">
        <x:v>Secteur/Chefferie</x:v>
      </x:c>
      <x:c r="B6" s="14" t="n">
        <x:v>734</x:v>
      </x:c>
      <x:c r="C6" s="14" t="n">
        <x:v>734</x:v>
      </x:c>
      <x:c r="D6" s="14" t="str">
        <x:v>100%</x:v>
      </x:c>
      <x:c r="E6" s="14" t="str">
        <x:v>734 entités 2018 chargées; actualisation 2025 à réconcilier</x:v>
      </x:c>
      <x:c r="F6" s="14" t="str">
        <x:v>S06;S12</x:v>
      </x:c>
      <x:c r="G6" s="14"/>
      <x:c r="H6" s="14" t="str">
        <x:v>Secteur/Chefferie</x:v>
      </x:c>
      <x:c r="I6" s="14" t="n">
        <x:v>734</x:v>
      </x:c>
      <x:c r="J6" s="14" t="n">
        <x:v>0</x:v>
      </x:c>
      <x:c r="K6" s="14"/>
      <x:c r="L6" s="14"/>
      <x:c r="M6" s="14"/>
      <x:c r="N6" s="14"/>
      <x:c r="O6" s="14"/>
      <x:c r="P6" s="14"/>
      <x:c r="Q6" s="14"/>
      <x:c r="R6" s="14"/>
      <x:c r="S6" s="14"/>
      <x:c r="T6" s="14"/>
      <x:c r="U6" s="14"/>
      <x:c r="V6" s="14"/>
      <x:c r="W6" s="14"/>
      <x:c r="X6" s="14"/>
      <x:c r="Y6" s="14"/>
      <x:c r="Z6" s="14"/>
    </x:row>
    <x:row r="7">
      <x:c r="A7" s="14" t="str">
        <x:v>Groupement</x:v>
      </x:c>
      <x:c r="B7" s="14" t="n">
        <x:v>5910</x:v>
      </x:c>
      <x:c r="C7" s="14" t="n">
        <x:v>0</x:v>
      </x:c>
      <x:c r="D7" s="14" t="str">
        <x:v>0%</x:v>
      </x:c>
      <x:c r="E7" s="14" t="str">
        <x:v>Référence CENI historique intégrée; nomenclature détaillée à importer/réconcilier</x:v>
      </x:c>
      <x:c r="F7" s="14" t="str">
        <x:v>S13;S02</x:v>
      </x:c>
      <x:c r="G7" s="14"/>
      <x:c r="H7" s="14"/>
      <x:c r="I7" s="14"/>
      <x:c r="J7" s="14"/>
      <x:c r="K7" s="14"/>
      <x:c r="L7" s="14"/>
      <x:c r="M7" s="14"/>
      <x:c r="N7" s="14"/>
      <x:c r="O7" s="14"/>
      <x:c r="P7" s="14"/>
      <x:c r="Q7" s="14"/>
      <x:c r="R7" s="14"/>
      <x:c r="S7" s="14"/>
      <x:c r="T7" s="14"/>
      <x:c r="U7" s="14"/>
      <x:c r="V7" s="14"/>
      <x:c r="W7" s="14"/>
      <x:c r="X7" s="14"/>
      <x:c r="Y7" s="14"/>
      <x:c r="Z7" s="14"/>
    </x:row>
    <x:row r="8">
      <x:c r="A8" s="14" t="str">
        <x:v>Village/localité</x:v>
      </x:c>
      <x:c r="B8" s="14" t="n">
        <x:v>87710</x:v>
      </x:c>
      <x:c r="C8" s="14" t="n">
        <x:v>0</x:v>
      </x:c>
      <x:c r="D8" s="14" t="str">
        <x:v>0%</x:v>
      </x:c>
      <x:c r="E8" s="14" t="str">
        <x:v>Référence CENI historique intégrée; aucun village administratif promu sans rattachement groupement</x:v>
      </x:c>
      <x:c r="F8" s="14" t="str">
        <x:v>S13;S02;S11</x:v>
      </x:c>
      <x:c r="G8" s="14"/>
      <x:c r="H8" s="14"/>
      <x:c r="I8" s="14"/>
      <x:c r="J8" s="14"/>
      <x:c r="K8" s="14"/>
      <x:c r="L8" s="14"/>
      <x:c r="M8" s="14"/>
      <x:c r="N8" s="14"/>
      <x:c r="O8" s="14"/>
      <x:c r="P8" s="14"/>
      <x:c r="Q8" s="14"/>
      <x:c r="R8" s="14"/>
      <x:c r="S8" s="14"/>
      <x:c r="T8" s="14"/>
      <x:c r="U8" s="14"/>
      <x:c r="V8" s="14"/>
      <x:c r="W8" s="14"/>
      <x:c r="X8" s="14"/>
      <x:c r="Y8" s="14"/>
      <x:c r="Z8" s="14"/>
    </x:row>
    <x:row r="9">
      <x:c r="A9" s="14" t="str">
        <x:v>Groupe ethnolinguistique</x:v>
      </x:c>
      <x:c r="B9" s="14"/>
      <x:c r="C9" s="14" t="n">
        <x:v>0</x:v>
      </x:c>
      <x:c r="D9" s="14" t="str">
        <x:v>—</x:v>
      </x:c>
      <x:c r="E9" s="14" t="str">
        <x:v>Schéma prêt; aucune attribution non sourcée</x:v>
      </x:c>
      <x:c r="F9" s="14" t="str">
        <x:v>S07;S08</x:v>
      </x:c>
      <x:c r="G9" s="14"/>
      <x:c r="H9" s="14"/>
      <x:c r="I9" s="14"/>
      <x:c r="J9" s="14"/>
      <x:c r="K9" s="14"/>
      <x:c r="L9" s="14"/>
      <x:c r="M9" s="14"/>
      <x:c r="N9" s="14"/>
      <x:c r="O9" s="14"/>
      <x:c r="P9" s="14"/>
      <x:c r="Q9" s="14"/>
      <x:c r="R9" s="14"/>
      <x:c r="S9" s="14"/>
      <x:c r="T9" s="14"/>
      <x:c r="U9" s="14"/>
      <x:c r="V9" s="14"/>
      <x:c r="W9" s="14"/>
      <x:c r="X9" s="14"/>
      <x:c r="Y9" s="14"/>
      <x:c r="Z9" s="14"/>
    </x:row>
    <x:row r="10">
      <x:c r="A10" s="14" t="str">
        <x:v>Langue</x:v>
      </x:c>
      <x:c r="B10" s="14"/>
      <x:c r="C10" s="14" t="n">
        <x:v>0</x:v>
      </x:c>
      <x:c r="D10" s="14" t="str">
        <x:v>—</x:v>
      </x:c>
      <x:c r="E10" s="14" t="str">
        <x:v>Schéma prêt; ISO 639-3 / Glottocode prévus</x:v>
      </x:c>
      <x:c r="F10" s="14" t="str">
        <x:v>S07;S08</x:v>
      </x:c>
      <x:c r="G10" s="14"/>
      <x:c r="H10" s="14"/>
      <x:c r="I10" s="14"/>
      <x:c r="J10" s="14"/>
      <x:c r="K10" s="14"/>
      <x:c r="L10" s="14"/>
      <x:c r="M10" s="14"/>
      <x:c r="N10" s="14"/>
      <x:c r="O10" s="14"/>
      <x:c r="P10" s="14"/>
      <x:c r="Q10" s="14"/>
      <x:c r="R10" s="14"/>
      <x:c r="S10" s="14"/>
      <x:c r="T10" s="14"/>
      <x:c r="U10" s="14"/>
      <x:c r="V10" s="14"/>
      <x:c r="W10" s="14"/>
      <x:c r="X10" s="14"/>
      <x:c r="Y10" s="14"/>
      <x:c r="Z10" s="14"/>
    </x:row>
    <x:row r="11">
      <x:c r="A11" s="86" t="str">
        <x:v>Point de peuplement GRID3</x:v>
      </x:c>
      <x:c r="B11" s="86" t="n">
        <x:v>128236</x:v>
      </x:c>
      <x:c r="C11" s="86" t="n">
        <x:v>0</x:v>
      </x:c>
      <x:c r="D11" s="86" t="str">
        <x:v>0%</x:v>
      </x:c>
      <x:c r="E11" s="86" t="str">
        <x:v>Source récente v9.0; points candidats pour enrichissement, non assimilés automatiquement aux villages</x:v>
      </x:c>
      <x:c r="F11" s="86" t="str">
        <x:v>S11</x:v>
      </x:c>
      <x:c r="G11" s="14"/>
      <x:c r="H11" s="14"/>
      <x:c r="I11" s="14"/>
      <x:c r="J11" s="14"/>
      <x:c r="K11" s="14"/>
      <x:c r="L11" s="14"/>
      <x:c r="M11" s="14"/>
      <x:c r="N11" s="14"/>
      <x:c r="O11" s="14"/>
      <x:c r="P11" s="14"/>
      <x:c r="Q11" s="14"/>
      <x:c r="R11" s="14"/>
      <x:c r="S11" s="14"/>
      <x:c r="T11" s="14"/>
      <x:c r="U11" s="14"/>
      <x:c r="V11" s="14"/>
      <x:c r="W11" s="14"/>
      <x:c r="X11" s="14"/>
      <x:c r="Y11" s="14"/>
      <x:c r="Z11" s="14"/>
    </x:row>
    <x:row r="12">
      <x:c r="A12" s="14"/>
      <x:c r="B12" s="14"/>
      <x:c r="C12" s="14"/>
      <x:c r="D12" s="14"/>
      <x:c r="E12" s="14"/>
      <x:c r="F12" s="14"/>
      <x:c r="G12" s="14"/>
      <x:c r="H12" s="14"/>
      <x:c r="I12" s="14"/>
      <x:c r="J12" s="14"/>
      <x:c r="K12" s="14"/>
      <x:c r="L12" s="14"/>
      <x:c r="M12" s="14"/>
      <x:c r="N12" s="14"/>
      <x:c r="O12" s="14"/>
      <x:c r="P12" s="14"/>
      <x:c r="Q12" s="14"/>
      <x:c r="R12" s="14"/>
      <x:c r="S12" s="14"/>
      <x:c r="T12" s="14"/>
      <x:c r="U12" s="14"/>
      <x:c r="V12" s="14"/>
      <x:c r="W12" s="14"/>
      <x:c r="X12" s="14"/>
      <x:c r="Y12" s="14"/>
      <x:c r="Z12" s="14"/>
    </x:row>
    <x:row r="13">
      <x:c r="A13" s="14"/>
      <x:c r="B13" s="14"/>
      <x:c r="C13" s="14"/>
      <x:c r="D13" s="14"/>
      <x:c r="E13" s="14"/>
      <x:c r="F13" s="14"/>
      <x:c r="G13" s="14"/>
      <x:c r="H13" s="14"/>
      <x:c r="I13" s="14"/>
      <x:c r="J13" s="14"/>
      <x:c r="K13" s="14"/>
      <x:c r="L13" s="14"/>
      <x:c r="M13" s="14"/>
      <x:c r="N13" s="14"/>
      <x:c r="O13" s="14"/>
      <x:c r="P13" s="14"/>
      <x:c r="Q13" s="14"/>
      <x:c r="R13" s="14"/>
      <x:c r="S13" s="14"/>
      <x:c r="T13" s="14"/>
      <x:c r="U13" s="14"/>
      <x:c r="V13" s="14"/>
      <x:c r="W13" s="14"/>
      <x:c r="X13" s="14"/>
      <x:c r="Y13" s="14"/>
      <x:c r="Z13" s="14"/>
    </x:row>
    <x:row r="14">
      <x:c r="A14" s="14"/>
      <x:c r="B14" s="14"/>
      <x:c r="C14" s="14"/>
      <x:c r="D14" s="14"/>
      <x:c r="E14" s="14"/>
      <x:c r="F14" s="14"/>
      <x:c r="G14" s="14"/>
      <x:c r="H14" s="14"/>
      <x:c r="I14" s="14"/>
      <x:c r="J14" s="14"/>
      <x:c r="K14" s="14"/>
      <x:c r="L14" s="14"/>
      <x:c r="M14" s="14"/>
      <x:c r="N14" s="14"/>
      <x:c r="O14" s="14"/>
      <x:c r="P14" s="14"/>
      <x:c r="Q14" s="14"/>
      <x:c r="R14" s="14"/>
      <x:c r="S14" s="14"/>
      <x:c r="T14" s="14"/>
      <x:c r="U14" s="14"/>
      <x:c r="V14" s="14"/>
      <x:c r="W14" s="14"/>
      <x:c r="X14" s="14"/>
      <x:c r="Y14" s="14"/>
      <x:c r="Z14" s="14"/>
    </x:row>
    <x:row r="15">
      <x:c r="A15" s="14"/>
      <x:c r="B15" s="14"/>
      <x:c r="C15" s="14"/>
      <x:c r="D15" s="14"/>
      <x:c r="E15" s="14"/>
      <x:c r="F15" s="14"/>
      <x:c r="G15" s="14"/>
      <x:c r="H15" s="14"/>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F1"/>
    <x:mergeCell ref="A2:F2"/>
  </x:mergeCells>
  <x:pageMargins left="0.7" right="0.7" top="0.75" bottom="0.75" header="0.3" footer="0.3"/>
  <x:drawing xmlns:r="http://schemas.openxmlformats.org/officeDocument/2006/relationships" r:id="R2bc534fb114c4c1c"/>
  <x:tableParts count="1">
    <x:tablePart xmlns:r="http://schemas.openxmlformats.org/officeDocument/2006/relationships" r:id="R6938e6f4a5b94cfb"/>
  </x:tableParts>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22" hidden="0" customWidth="1"/>
    <x:col min="4" max="4" width="18" hidden="0" customWidth="1"/>
    <x:col min="5" max="5" width="14" hidden="0" customWidth="1"/>
    <x:col min="6" max="6" width="20" hidden="0" customWidth="1"/>
    <x:col min="7" max="7" width="18" hidden="0" customWidth="1"/>
    <x:col min="8" max="8" width="20" hidden="0" customWidth="1"/>
    <x:col min="9" max="9" width="20" hidden="0" customWidth="1"/>
    <x:col min="10" max="10" width="30" hidden="0" customWidth="1"/>
    <x:col min="11" max="11" width="18" hidden="0" customWidth="1"/>
  </x:cols>
  <x:sheetData>
    <x:row r="1" ht="28" customHeight="1">
      <x:c r="A1" s="4" t="str">
        <x:v>Provinces de la République Démocratique du Congo</x:v>
      </x:c>
      <x:c r="B1" s="4"/>
      <x:c r="C1" s="4"/>
      <x:c r="D1" s="4"/>
      <x:c r="E1" s="4"/>
      <x:c r="F1" s="4"/>
      <x:c r="G1" s="4"/>
      <x:c r="H1" s="4"/>
      <x:c r="I1" s="4"/>
      <x:c r="J1" s="4"/>
      <x:c r="K1" s="4"/>
    </x:row>
    <x:row r="2">
      <x:c r="A2" s="18" t="str">
        <x:v>Les comptages secteurs/chefferies proviennent de la source administrative consultée; la ventilation nationale par type doit être validée.</x:v>
      </x:c>
      <x:c r="B2" s="18"/>
      <x:c r="C2" s="18"/>
      <x:c r="D2" s="18"/>
      <x:c r="E2" s="18"/>
      <x:c r="F2" s="18"/>
      <x:c r="G2" s="18"/>
      <x:c r="H2" s="18"/>
      <x:c r="I2" s="18"/>
      <x:c r="J2" s="18"/>
      <x:c r="K2" s="18"/>
    </x:row>
    <x:row r="3">
      <x:c r="A3" s="26" t="str">
        <x:v>province_id</x:v>
      </x:c>
      <x:c r="B3" s="26" t="str">
        <x:v>code_interne</x:v>
      </x:c>
      <x:c r="C3" s="26" t="str">
        <x:v>nom_province</x:v>
      </x:c>
      <x:c r="D3" s="26" t="str">
        <x:v>chef_lieu</x:v>
      </x:c>
      <x:c r="E3" s="26" t="str">
        <x:v>prefixe_pcode</x:v>
      </x:c>
      <x:c r="F3" s="26" t="str">
        <x:v>nb_territoires_calcule</x:v>
      </x:c>
      <x:c r="G3" s="26" t="str">
        <x:v>nb_secteurs_source</x:v>
      </x:c>
      <x:c r="H3" s="26" t="str">
        <x:v>nb_chefferies_source</x:v>
      </x:c>
      <x:c r="I3" s="26" t="str">
        <x:v>nb_etd_total_source</x:v>
      </x:c>
      <x:c r="J3" s="26" t="str">
        <x:v>statut_couverture</x:v>
      </x:c>
      <x:c r="K3" s="26" t="str">
        <x:v>sources</x:v>
      </x:c>
    </x:row>
    <x:row r="4">
      <x:c r="A4" s="14" t="n">
        <x:v>1</x:v>
      </x:c>
      <x:c r="B4" s="14" t="str">
        <x:v>COD-P01</x:v>
      </x:c>
      <x:c r="C4" s="14" t="str">
        <x:v>Kinshasa</x:v>
      </x:c>
      <x:c r="D4" s="14" t="str">
        <x:v>Kinshasa</x:v>
      </x:c>
      <x:c r="E4" s="14" t="str">
        <x:v>10</x:v>
      </x:c>
      <x:c r="F4" s="14" t="n">
        <x:f>COUNTIF(Territoires!$C$4:$C$148,C4)</x:f>
        <x:v>0</x:v>
      </x:c>
      <x:c r="G4" s="14" t="n">
        <x:v>0</x:v>
      </x:c>
      <x:c r="H4" s="14" t="n">
        <x:v>0</x:v>
      </x:c>
      <x:c r="I4" s="14" t="n">
        <x:f>G4+H4</x:f>
        <x:v>0</x:v>
      </x:c>
      <x:c r="J4" s="14" t="str">
        <x:v>COMPLET_NIVEAU_PROVINCE_TERRITOIRE</x:v>
      </x:c>
      <x:c r="K4" s="14" t="str">
        <x:v>S01;S03</x:v>
      </x:c>
    </x:row>
    <x:row r="5">
      <x:c r="A5" s="14" t="n">
        <x:v>2</x:v>
      </x:c>
      <x:c r="B5" s="14" t="str">
        <x:v>COD-P02</x:v>
      </x:c>
      <x:c r="C5" s="14" t="str">
        <x:v>Kongo Central</x:v>
      </x:c>
      <x:c r="D5" s="14" t="str">
        <x:v>Matadi</x:v>
      </x:c>
      <x:c r="E5" s="14" t="str">
        <x:v>20</x:v>
      </x:c>
      <x:c r="F5" s="14" t="n">
        <x:f>COUNTIF(Territoires!$C$4:$C$148,C5)</x:f>
        <x:v>10</x:v>
      </x:c>
      <x:c r="G5" s="14" t="n">
        <x:v>55</x:v>
      </x:c>
      <x:c r="H5" s="14" t="n">
        <x:v>0</x:v>
      </x:c>
      <x:c r="I5" s="14" t="n">
        <x:f>G5+H5</x:f>
        <x:v>55</x:v>
      </x:c>
      <x:c r="J5" s="14" t="str">
        <x:v>COMPLET_NIVEAU_PROVINCE_TERRITOIRE</x:v>
      </x:c>
      <x:c r="K5" s="14" t="str">
        <x:v>S01;S03</x:v>
      </x:c>
    </x:row>
    <x:row r="6">
      <x:c r="A6" s="14" t="n">
        <x:v>3</x:v>
      </x:c>
      <x:c r="B6" s="14" t="str">
        <x:v>COD-P03</x:v>
      </x:c>
      <x:c r="C6" s="14" t="str">
        <x:v>Kwango</x:v>
      </x:c>
      <x:c r="D6" s="14" t="str">
        <x:v>Kenge</x:v>
      </x:c>
      <x:c r="E6" s="14" t="str">
        <x:v>31</x:v>
      </x:c>
      <x:c r="F6" s="14" t="n">
        <x:f>COUNTIF(Territoires!$C$4:$C$148,C6)</x:f>
        <x:v>5</x:v>
      </x:c>
      <x:c r="G6" s="14" t="n">
        <x:v>20</x:v>
      </x:c>
      <x:c r="H6" s="14" t="n">
        <x:v>6</x:v>
      </x:c>
      <x:c r="I6" s="14" t="n">
        <x:f>G6+H6</x:f>
        <x:v>26</x:v>
      </x:c>
      <x:c r="J6" s="14" t="str">
        <x:v>COMPLET_NIVEAU_PROVINCE_TERRITOIRE</x:v>
      </x:c>
      <x:c r="K6" s="14" t="str">
        <x:v>S01;S03</x:v>
      </x:c>
    </x:row>
    <x:row r="7">
      <x:c r="A7" s="14" t="n">
        <x:v>4</x:v>
      </x:c>
      <x:c r="B7" s="14" t="str">
        <x:v>COD-P04</x:v>
      </x:c>
      <x:c r="C7" s="14" t="str">
        <x:v>Kwilu</x:v>
      </x:c>
      <x:c r="D7" s="14" t="str">
        <x:v>Bandundu</x:v>
      </x:c>
      <x:c r="E7" s="14" t="str">
        <x:v>32</x:v>
      </x:c>
      <x:c r="F7" s="14" t="n">
        <x:f>COUNTIF(Territoires!$C$4:$C$148,C7)</x:f>
        <x:v>5</x:v>
      </x:c>
      <x:c r="G7" s="14" t="n">
        <x:v>49</x:v>
      </x:c>
      <x:c r="H7" s="14" t="n">
        <x:v>0</x:v>
      </x:c>
      <x:c r="I7" s="14" t="n">
        <x:f>G7+H7</x:f>
        <x:v>49</x:v>
      </x:c>
      <x:c r="J7" s="14" t="str">
        <x:v>COMPLET_NIVEAU_PROVINCE_TERRITOIRE</x:v>
      </x:c>
      <x:c r="K7" s="14" t="str">
        <x:v>S01;S03</x:v>
      </x:c>
    </x:row>
    <x:row r="8">
      <x:c r="A8" s="14" t="n">
        <x:v>5</x:v>
      </x:c>
      <x:c r="B8" s="14" t="str">
        <x:v>COD-P05</x:v>
      </x:c>
      <x:c r="C8" s="14" t="str">
        <x:v>Mai-Ndombe</x:v>
      </x:c>
      <x:c r="D8" s="14" t="str">
        <x:v>Inongo</x:v>
      </x:c>
      <x:c r="E8" s="14" t="str">
        <x:v>33</x:v>
      </x:c>
      <x:c r="F8" s="14" t="n">
        <x:f>COUNTIF(Territoires!$C$4:$C$148,C8)</x:f>
        <x:v>8</x:v>
      </x:c>
      <x:c r="G8" s="14" t="n">
        <x:v>15</x:v>
      </x:c>
      <x:c r="H8" s="14" t="n">
        <x:v>4</x:v>
      </x:c>
      <x:c r="I8" s="14" t="n">
        <x:f>G8+H8</x:f>
        <x:v>19</x:v>
      </x:c>
      <x:c r="J8" s="14" t="str">
        <x:v>COMPLET_NIVEAU_PROVINCE_TERRITOIRE</x:v>
      </x:c>
      <x:c r="K8" s="14" t="str">
        <x:v>S01;S03</x:v>
      </x:c>
    </x:row>
    <x:row r="9">
      <x:c r="A9" s="14" t="n">
        <x:v>6</x:v>
      </x:c>
      <x:c r="B9" s="14" t="str">
        <x:v>COD-P06</x:v>
      </x:c>
      <x:c r="C9" s="14" t="str">
        <x:v>Équateur</x:v>
      </x:c>
      <x:c r="D9" s="14" t="str">
        <x:v>Mbandaka</x:v>
      </x:c>
      <x:c r="E9" s="14" t="str">
        <x:v>41</x:v>
      </x:c>
      <x:c r="F9" s="14" t="n">
        <x:f>COUNTIF(Territoires!$C$4:$C$148,C9)</x:f>
        <x:v>7</x:v>
      </x:c>
      <x:c r="G9" s="14" t="n">
        <x:v>21</x:v>
      </x:c>
      <x:c r="H9" s="14" t="n">
        <x:v>1</x:v>
      </x:c>
      <x:c r="I9" s="14" t="n">
        <x:f>G9+H9</x:f>
        <x:v>22</x:v>
      </x:c>
      <x:c r="J9" s="14" t="str">
        <x:v>COMPLET_NIVEAU_PROVINCE_TERRITOIRE</x:v>
      </x:c>
      <x:c r="K9" s="14" t="str">
        <x:v>S01;S03</x:v>
      </x:c>
    </x:row>
    <x:row r="10">
      <x:c r="A10" s="14" t="n">
        <x:v>7</x:v>
      </x:c>
      <x:c r="B10" s="14" t="str">
        <x:v>COD-P07</x:v>
      </x:c>
      <x:c r="C10" s="14" t="str">
        <x:v>Sud-Ubangi</x:v>
      </x:c>
      <x:c r="D10" s="14" t="str">
        <x:v>Gemena</x:v>
      </x:c>
      <x:c r="E10" s="14" t="str">
        <x:v>42</x:v>
      </x:c>
      <x:c r="F10" s="14" t="n">
        <x:f>COUNTIF(Territoires!$C$4:$C$148,C10)</x:f>
        <x:v>4</x:v>
      </x:c>
      <x:c r="G10" s="14" t="n">
        <x:v>17</x:v>
      </x:c>
      <x:c r="H10" s="14" t="n">
        <x:v>0</x:v>
      </x:c>
      <x:c r="I10" s="14" t="n">
        <x:f>G10+H10</x:f>
        <x:v>17</x:v>
      </x:c>
      <x:c r="J10" s="14" t="str">
        <x:v>COMPLET_NIVEAU_PROVINCE_TERRITOIRE</x:v>
      </x:c>
      <x:c r="K10" s="14" t="str">
        <x:v>S01;S03</x:v>
      </x:c>
    </x:row>
    <x:row r="11">
      <x:c r="A11" s="14" t="n">
        <x:v>8</x:v>
      </x:c>
      <x:c r="B11" s="14" t="str">
        <x:v>COD-P08</x:v>
      </x:c>
      <x:c r="C11" s="14" t="str">
        <x:v>Nord-Ubangi</x:v>
      </x:c>
      <x:c r="D11" s="14" t="str">
        <x:v>Gbadolite</x:v>
      </x:c>
      <x:c r="E11" s="14" t="str">
        <x:v>43</x:v>
      </x:c>
      <x:c r="F11" s="14" t="n">
        <x:f>COUNTIF(Territoires!$C$4:$C$148,C11)</x:f>
        <x:v>4</x:v>
      </x:c>
      <x:c r="G11" s="14" t="n">
        <x:v>11</x:v>
      </x:c>
      <x:c r="H11" s="14" t="n">
        <x:v>0</x:v>
      </x:c>
      <x:c r="I11" s="14" t="n">
        <x:f>G11+H11</x:f>
        <x:v>11</x:v>
      </x:c>
      <x:c r="J11" s="14" t="str">
        <x:v>COMPLET_NIVEAU_PROVINCE_TERRITOIRE</x:v>
      </x:c>
      <x:c r="K11" s="14" t="str">
        <x:v>S01;S03</x:v>
      </x:c>
    </x:row>
    <x:row r="12">
      <x:c r="A12" s="14" t="n">
        <x:v>9</x:v>
      </x:c>
      <x:c r="B12" s="14" t="str">
        <x:v>COD-P09</x:v>
      </x:c>
      <x:c r="C12" s="14" t="str">
        <x:v>Mongala</x:v>
      </x:c>
      <x:c r="D12" s="14" t="str">
        <x:v>Lisala</x:v>
      </x:c>
      <x:c r="E12" s="14" t="str">
        <x:v>44</x:v>
      </x:c>
      <x:c r="F12" s="14" t="n">
        <x:f>COUNTIF(Territoires!$C$4:$C$148,C12)</x:f>
        <x:v>3</x:v>
      </x:c>
      <x:c r="G12" s="14" t="n">
        <x:v>13</x:v>
      </x:c>
      <x:c r="H12" s="14" t="n">
        <x:v>0</x:v>
      </x:c>
      <x:c r="I12" s="14" t="n">
        <x:f>G12+H12</x:f>
        <x:v>13</x:v>
      </x:c>
      <x:c r="J12" s="14" t="str">
        <x:v>COMPLET_NIVEAU_PROVINCE_TERRITOIRE</x:v>
      </x:c>
      <x:c r="K12" s="14" t="str">
        <x:v>S01;S03</x:v>
      </x:c>
    </x:row>
    <x:row r="13">
      <x:c r="A13" s="14" t="n">
        <x:v>10</x:v>
      </x:c>
      <x:c r="B13" s="14" t="str">
        <x:v>COD-P10</x:v>
      </x:c>
      <x:c r="C13" s="14" t="str">
        <x:v>Tshuapa</x:v>
      </x:c>
      <x:c r="D13" s="14" t="str">
        <x:v>Boende</x:v>
      </x:c>
      <x:c r="E13" s="14" t="str">
        <x:v>45</x:v>
      </x:c>
      <x:c r="F13" s="14" t="n">
        <x:f>COUNTIF(Territoires!$C$4:$C$148,C13)</x:f>
        <x:v>6</x:v>
      </x:c>
      <x:c r="G13" s="14" t="n">
        <x:v>23</x:v>
      </x:c>
      <x:c r="H13" s="14" t="n">
        <x:v>1</x:v>
      </x:c>
      <x:c r="I13" s="14" t="n">
        <x:f>G13+H13</x:f>
        <x:v>24</x:v>
      </x:c>
      <x:c r="J13" s="14" t="str">
        <x:v>COMPLET_NIVEAU_PROVINCE_TERRITOIRE</x:v>
      </x:c>
      <x:c r="K13" s="14" t="str">
        <x:v>S01;S03</x:v>
      </x:c>
    </x:row>
    <x:row r="14">
      <x:c r="A14" s="14" t="n">
        <x:v>11</x:v>
      </x:c>
      <x:c r="B14" s="14" t="str">
        <x:v>COD-P11</x:v>
      </x:c>
      <x:c r="C14" s="14" t="str">
        <x:v>Tshopo</x:v>
      </x:c>
      <x:c r="D14" s="14" t="str">
        <x:v>Kisangani</x:v>
      </x:c>
      <x:c r="E14" s="14" t="str">
        <x:v>51</x:v>
      </x:c>
      <x:c r="F14" s="14" t="n">
        <x:f>COUNTIF(Territoires!$C$4:$C$148,C14)</x:f>
        <x:v>7</x:v>
      </x:c>
      <x:c r="G14" s="14" t="n">
        <x:v>39</x:v>
      </x:c>
      <x:c r="H14" s="14" t="n">
        <x:v>19</x:v>
      </x:c>
      <x:c r="I14" s="14" t="n">
        <x:f>G14+H14</x:f>
        <x:v>58</x:v>
      </x:c>
      <x:c r="J14" s="14" t="str">
        <x:v>COMPLET_NIVEAU_PROVINCE_TERRITOIRE</x:v>
      </x:c>
      <x:c r="K14" s="14" t="str">
        <x:v>S01;S03</x:v>
      </x:c>
    </x:row>
    <x:row r="15">
      <x:c r="A15" s="14" t="n">
        <x:v>12</x:v>
      </x:c>
      <x:c r="B15" s="14" t="str">
        <x:v>COD-P12</x:v>
      </x:c>
      <x:c r="C15" s="14" t="str">
        <x:v>Bas-Uele</x:v>
      </x:c>
      <x:c r="D15" s="14" t="str">
        <x:v>Buta</x:v>
      </x:c>
      <x:c r="E15" s="14" t="str">
        <x:v>52</x:v>
      </x:c>
      <x:c r="F15" s="14" t="n">
        <x:f>COUNTIF(Territoires!$C$4:$C$148,C15)</x:f>
        <x:v>6</x:v>
      </x:c>
      <x:c r="G15" s="14" t="n">
        <x:v>7</x:v>
      </x:c>
      <x:c r="H15" s="14" t="n">
        <x:v>42</x:v>
      </x:c>
      <x:c r="I15" s="14" t="n">
        <x:f>G15+H15</x:f>
        <x:v>49</x:v>
      </x:c>
      <x:c r="J15" s="14" t="str">
        <x:v>COMPLET_NIVEAU_PROVINCE_TERRITOIRE</x:v>
      </x:c>
      <x:c r="K15" s="14" t="str">
        <x:v>S01;S03</x:v>
      </x:c>
    </x:row>
    <x:row r="16">
      <x:c r="A16" s="14" t="n">
        <x:v>13</x:v>
      </x:c>
      <x:c r="B16" s="14" t="str">
        <x:v>COD-P13</x:v>
      </x:c>
      <x:c r="C16" s="14" t="str">
        <x:v>Haut-Uele</x:v>
      </x:c>
      <x:c r="D16" s="14" t="str">
        <x:v>Isiro</x:v>
      </x:c>
      <x:c r="E16" s="14" t="str">
        <x:v>53</x:v>
      </x:c>
      <x:c r="F16" s="14" t="n">
        <x:f>COUNTIF(Territoires!$C$4:$C$148,C16)</x:f>
        <x:v>6</x:v>
      </x:c>
      <x:c r="G16" s="14" t="n">
        <x:v>4</x:v>
      </x:c>
      <x:c r="H16" s="14" t="n">
        <x:v>40</x:v>
      </x:c>
      <x:c r="I16" s="14" t="n">
        <x:f>G16+H16</x:f>
        <x:v>44</x:v>
      </x:c>
      <x:c r="J16" s="14" t="str">
        <x:v>COMPLET_NIVEAU_PROVINCE_TERRITOIRE</x:v>
      </x:c>
      <x:c r="K16" s="14" t="str">
        <x:v>S01;S03</x:v>
      </x:c>
    </x:row>
    <x:row r="17">
      <x:c r="A17" s="14" t="n">
        <x:v>14</x:v>
      </x:c>
      <x:c r="B17" s="14" t="str">
        <x:v>COD-P14</x:v>
      </x:c>
      <x:c r="C17" s="14" t="str">
        <x:v>Ituri</x:v>
      </x:c>
      <x:c r="D17" s="14" t="str">
        <x:v>Bunia</x:v>
      </x:c>
      <x:c r="E17" s="14" t="str">
        <x:v>54</x:v>
      </x:c>
      <x:c r="F17" s="14" t="n">
        <x:f>COUNTIF(Territoires!$C$4:$C$148,C17)</x:f>
        <x:v>5</x:v>
      </x:c>
      <x:c r="G17" s="14" t="n">
        <x:v>6</x:v>
      </x:c>
      <x:c r="H17" s="14" t="n">
        <x:v>42</x:v>
      </x:c>
      <x:c r="I17" s="14" t="n">
        <x:f>G17+H17</x:f>
        <x:v>48</x:v>
      </x:c>
      <x:c r="J17" s="14" t="str">
        <x:v>COMPLET_NIVEAU_PROVINCE_TERRITOIRE</x:v>
      </x:c>
      <x:c r="K17" s="14" t="str">
        <x:v>S01;S03</x:v>
      </x:c>
    </x:row>
    <x:row r="18">
      <x:c r="A18" s="14" t="n">
        <x:v>15</x:v>
      </x:c>
      <x:c r="B18" s="14" t="str">
        <x:v>COD-P15</x:v>
      </x:c>
      <x:c r="C18" s="14" t="str">
        <x:v>Nord-Kivu</x:v>
      </x:c>
      <x:c r="D18" s="14" t="str">
        <x:v>Goma</x:v>
      </x:c>
      <x:c r="E18" s="14" t="str">
        <x:v>61</x:v>
      </x:c>
      <x:c r="F18" s="14" t="n">
        <x:f>COUNTIF(Territoires!$C$4:$C$148,C18)</x:f>
        <x:v>6</x:v>
      </x:c>
      <x:c r="G18" s="14" t="n">
        <x:v>7</x:v>
      </x:c>
      <x:c r="H18" s="14" t="n">
        <x:v>10</x:v>
      </x:c>
      <x:c r="I18" s="14" t="n">
        <x:f>G18+H18</x:f>
        <x:v>17</x:v>
      </x:c>
      <x:c r="J18" s="14" t="str">
        <x:v>COMPLET_NIVEAU_PROVINCE_TERRITOIRE</x:v>
      </x:c>
      <x:c r="K18" s="14" t="str">
        <x:v>S01;S03</x:v>
      </x:c>
    </x:row>
    <x:row r="19">
      <x:c r="A19" s="14" t="n">
        <x:v>16</x:v>
      </x:c>
      <x:c r="B19" s="14" t="str">
        <x:v>COD-P16</x:v>
      </x:c>
      <x:c r="C19" s="14" t="str">
        <x:v>Sud-Kivu</x:v>
      </x:c>
      <x:c r="D19" s="14" t="str">
        <x:v>Bukavu</x:v>
      </x:c>
      <x:c r="E19" s="14" t="str">
        <x:v>62</x:v>
      </x:c>
      <x:c r="F19" s="14" t="n">
        <x:f>COUNTIF(Territoires!$C$4:$C$148,C19)</x:f>
        <x:v>8</x:v>
      </x:c>
      <x:c r="G19" s="14" t="n">
        <x:v>5</x:v>
      </x:c>
      <x:c r="H19" s="14" t="n">
        <x:v>18</x:v>
      </x:c>
      <x:c r="I19" s="14" t="n">
        <x:f>G19+H19</x:f>
        <x:v>23</x:v>
      </x:c>
      <x:c r="J19" s="14" t="str">
        <x:v>COMPLET_NIVEAU_PROVINCE_TERRITOIRE</x:v>
      </x:c>
      <x:c r="K19" s="14" t="str">
        <x:v>S01;S03</x:v>
      </x:c>
    </x:row>
    <x:row r="20">
      <x:c r="A20" s="14" t="n">
        <x:v>17</x:v>
      </x:c>
      <x:c r="B20" s="14" t="str">
        <x:v>COD-P17</x:v>
      </x:c>
      <x:c r="C20" s="14" t="str">
        <x:v>Maniema</x:v>
      </x:c>
      <x:c r="D20" s="14" t="str">
        <x:v>Kindu</x:v>
      </x:c>
      <x:c r="E20" s="14" t="str">
        <x:v>63</x:v>
      </x:c>
      <x:c r="F20" s="14" t="n">
        <x:f>COUNTIF(Territoires!$C$4:$C$148,C20)</x:f>
        <x:v>7</x:v>
      </x:c>
      <x:c r="G20" s="14" t="n">
        <x:v>21</x:v>
      </x:c>
      <x:c r="H20" s="14" t="n">
        <x:v>13</x:v>
      </x:c>
      <x:c r="I20" s="14" t="n">
        <x:f>G20+H20</x:f>
        <x:v>34</x:v>
      </x:c>
      <x:c r="J20" s="14" t="str">
        <x:v>COMPLET_NIVEAU_PROVINCE_TERRITOIRE</x:v>
      </x:c>
      <x:c r="K20" s="14" t="str">
        <x:v>S01;S03</x:v>
      </x:c>
    </x:row>
    <x:row r="21">
      <x:c r="A21" s="14" t="n">
        <x:v>18</x:v>
      </x:c>
      <x:c r="B21" s="14" t="str">
        <x:v>COD-P18</x:v>
      </x:c>
      <x:c r="C21" s="14" t="str">
        <x:v>Haut-Katanga</x:v>
      </x:c>
      <x:c r="D21" s="14" t="str">
        <x:v>Lubumbashi</x:v>
      </x:c>
      <x:c r="E21" s="14" t="str">
        <x:v>71</x:v>
      </x:c>
      <x:c r="F21" s="14" t="n">
        <x:f>COUNTIF(Territoires!$C$4:$C$148,C21)</x:f>
        <x:v>6</x:v>
      </x:c>
      <x:c r="G21" s="14" t="n">
        <x:v>13</x:v>
      </x:c>
      <x:c r="H21" s="14" t="n">
        <x:v>7</x:v>
      </x:c>
      <x:c r="I21" s="14" t="n">
        <x:f>G21+H21</x:f>
        <x:v>20</x:v>
      </x:c>
      <x:c r="J21" s="14" t="str">
        <x:v>COMPLET_NIVEAU_PROVINCE_TERRITOIRE</x:v>
      </x:c>
      <x:c r="K21" s="14" t="str">
        <x:v>S01;S03</x:v>
      </x:c>
    </x:row>
    <x:row r="22">
      <x:c r="A22" s="14" t="n">
        <x:v>19</x:v>
      </x:c>
      <x:c r="B22" s="14" t="str">
        <x:v>COD-P19</x:v>
      </x:c>
      <x:c r="C22" s="14" t="str">
        <x:v>Lualaba</x:v>
      </x:c>
      <x:c r="D22" s="14" t="str">
        <x:v>Kolwezi</x:v>
      </x:c>
      <x:c r="E22" s="14" t="str">
        <x:v>72</x:v>
      </x:c>
      <x:c r="F22" s="14" t="n">
        <x:f>COUNTIF(Territoires!$C$4:$C$148,C22)</x:f>
        <x:v>5</x:v>
      </x:c>
      <x:c r="G22" s="14" t="n">
        <x:v>6</x:v>
      </x:c>
      <x:c r="H22" s="14" t="n">
        <x:v>19</x:v>
      </x:c>
      <x:c r="I22" s="14" t="n">
        <x:f>G22+H22</x:f>
        <x:v>25</x:v>
      </x:c>
      <x:c r="J22" s="14" t="str">
        <x:v>COMPLET_NIVEAU_PROVINCE_TERRITOIRE</x:v>
      </x:c>
      <x:c r="K22" s="14" t="str">
        <x:v>S01;S03</x:v>
      </x:c>
    </x:row>
    <x:row r="23">
      <x:c r="A23" s="14" t="n">
        <x:v>20</x:v>
      </x:c>
      <x:c r="B23" s="14" t="str">
        <x:v>COD-P20</x:v>
      </x:c>
      <x:c r="C23" s="14" t="str">
        <x:v>Haut-Lomami</x:v>
      </x:c>
      <x:c r="D23" s="14" t="str">
        <x:v>Kamina</x:v>
      </x:c>
      <x:c r="E23" s="14" t="str">
        <x:v>73</x:v>
      </x:c>
      <x:c r="F23" s="14" t="n">
        <x:f>COUNTIF(Territoires!$C$4:$C$148,C23)</x:f>
        <x:v>5</x:v>
      </x:c>
      <x:c r="G23" s="14" t="n">
        <x:v>6</x:v>
      </x:c>
      <x:c r="H23" s="14" t="n">
        <x:v>13</x:v>
      </x:c>
      <x:c r="I23" s="14" t="n">
        <x:f>G23+H23</x:f>
        <x:v>19</x:v>
      </x:c>
      <x:c r="J23" s="14" t="str">
        <x:v>COMPLET_NIVEAU_PROVINCE_TERRITOIRE</x:v>
      </x:c>
      <x:c r="K23" s="14" t="str">
        <x:v>S01;S03</x:v>
      </x:c>
    </x:row>
    <x:row r="24">
      <x:c r="A24" s="14" t="n">
        <x:v>21</x:v>
      </x:c>
      <x:c r="B24" s="14" t="str">
        <x:v>COD-P21</x:v>
      </x:c>
      <x:c r="C24" s="14" t="str">
        <x:v>Tanganyika</x:v>
      </x:c>
      <x:c r="D24" s="14" t="str">
        <x:v>Kalemie</x:v>
      </x:c>
      <x:c r="E24" s="14" t="str">
        <x:v>74</x:v>
      </x:c>
      <x:c r="F24" s="14" t="n">
        <x:f>COUNTIF(Territoires!$C$4:$C$148,C24)</x:f>
        <x:v>6</x:v>
      </x:c>
      <x:c r="G24" s="14" t="n">
        <x:v>12</x:v>
      </x:c>
      <x:c r="H24" s="14" t="n">
        <x:v>17</x:v>
      </x:c>
      <x:c r="I24" s="14" t="n">
        <x:f>G24+H24</x:f>
        <x:v>29</x:v>
      </x:c>
      <x:c r="J24" s="14" t="str">
        <x:v>COMPLET_NIVEAU_PROVINCE_TERRITOIRE</x:v>
      </x:c>
      <x:c r="K24" s="14" t="str">
        <x:v>S01;S03</x:v>
      </x:c>
    </x:row>
    <x:row r="25">
      <x:c r="A25" s="14" t="n">
        <x:v>22</x:v>
      </x:c>
      <x:c r="B25" s="14" t="str">
        <x:v>COD-P22</x:v>
      </x:c>
      <x:c r="C25" s="14" t="str">
        <x:v>Lomami</x:v>
      </x:c>
      <x:c r="D25" s="14" t="str">
        <x:v>Kabinda</x:v>
      </x:c>
      <x:c r="E25" s="14" t="str">
        <x:v>81</x:v>
      </x:c>
      <x:c r="F25" s="14" t="n">
        <x:f>COUNTIF(Territoires!$C$4:$C$148,C25)</x:f>
        <x:v>5</x:v>
      </x:c>
      <x:c r="G25" s="14" t="n">
        <x:v>16</x:v>
      </x:c>
      <x:c r="H25" s="14" t="n">
        <x:v>5</x:v>
      </x:c>
      <x:c r="I25" s="14" t="n">
        <x:f>G25+H25</x:f>
        <x:v>21</x:v>
      </x:c>
      <x:c r="J25" s="14" t="str">
        <x:v>COMPLET_NIVEAU_PROVINCE_TERRITOIRE</x:v>
      </x:c>
      <x:c r="K25" s="14" t="str">
        <x:v>S01;S03</x:v>
      </x:c>
    </x:row>
    <x:row r="26">
      <x:c r="A26" s="14" t="n">
        <x:v>23</x:v>
      </x:c>
      <x:c r="B26" s="14" t="str">
        <x:v>COD-P23</x:v>
      </x:c>
      <x:c r="C26" s="14" t="str">
        <x:v>Kasaï-Oriental</x:v>
      </x:c>
      <x:c r="D26" s="14" t="str">
        <x:v>Mbuji-Mayi</x:v>
      </x:c>
      <x:c r="E26" s="14" t="str">
        <x:v>82</x:v>
      </x:c>
      <x:c r="F26" s="14" t="n">
        <x:f>COUNTIF(Territoires!$C$4:$C$148,C26)</x:f>
        <x:v>5</x:v>
      </x:c>
      <x:c r="G26" s="14" t="n">
        <x:v>16</x:v>
      </x:c>
      <x:c r="H26" s="14" t="n">
        <x:v>1</x:v>
      </x:c>
      <x:c r="I26" s="14" t="n">
        <x:f>G26+H26</x:f>
        <x:v>17</x:v>
      </x:c>
      <x:c r="J26" s="14" t="str">
        <x:v>COMPLET_NIVEAU_PROVINCE_TERRITOIRE</x:v>
      </x:c>
      <x:c r="K26" s="14" t="str">
        <x:v>S01;S03</x:v>
      </x:c>
    </x:row>
    <x:row r="27">
      <x:c r="A27" s="14" t="n">
        <x:v>24</x:v>
      </x:c>
      <x:c r="B27" s="14" t="str">
        <x:v>COD-P24</x:v>
      </x:c>
      <x:c r="C27" s="14" t="str">
        <x:v>Sankuru</x:v>
      </x:c>
      <x:c r="D27" s="14" t="str">
        <x:v>Lusambo</x:v>
      </x:c>
      <x:c r="E27" s="14" t="str">
        <x:v>83</x:v>
      </x:c>
      <x:c r="F27" s="14" t="n">
        <x:f>COUNTIF(Territoires!$C$4:$C$148,C27)</x:f>
        <x:v>6</x:v>
      </x:c>
      <x:c r="G27" s="14" t="n">
        <x:v>39</x:v>
      </x:c>
      <x:c r="H27" s="14" t="n">
        <x:v>2</x:v>
      </x:c>
      <x:c r="I27" s="14" t="n">
        <x:f>G27+H27</x:f>
        <x:v>41</x:v>
      </x:c>
      <x:c r="J27" s="14" t="str">
        <x:v>COMPLET_NIVEAU_PROVINCE_TERRITOIRE</x:v>
      </x:c>
      <x:c r="K27" s="14" t="str">
        <x:v>S01;S03</x:v>
      </x:c>
    </x:row>
    <x:row r="28">
      <x:c r="A28" s="14" t="n">
        <x:v>25</x:v>
      </x:c>
      <x:c r="B28" s="14" t="str">
        <x:v>COD-P25</x:v>
      </x:c>
      <x:c r="C28" s="14" t="str">
        <x:v>Kasaï-Central</x:v>
      </x:c>
      <x:c r="D28" s="14" t="str">
        <x:v>Kananga</x:v>
      </x:c>
      <x:c r="E28" s="14" t="str">
        <x:v>91</x:v>
      </x:c>
      <x:c r="F28" s="14" t="n">
        <x:f>COUNTIF(Territoires!$C$4:$C$148,C28)</x:f>
        <x:v>5</x:v>
      </x:c>
      <x:c r="G28" s="14" t="n">
        <x:v>33</x:v>
      </x:c>
      <x:c r="H28" s="14" t="n">
        <x:v>0</x:v>
      </x:c>
      <x:c r="I28" s="14" t="n">
        <x:f>G28+H28</x:f>
        <x:v>33</x:v>
      </x:c>
      <x:c r="J28" s="14" t="str">
        <x:v>COMPLET_NIVEAU_PROVINCE_TERRITOIRE</x:v>
      </x:c>
      <x:c r="K28" s="14" t="str">
        <x:v>S01;S03</x:v>
      </x:c>
    </x:row>
    <x:row r="29">
      <x:c r="A29" s="14" t="n">
        <x:v>26</x:v>
      </x:c>
      <x:c r="B29" s="14" t="str">
        <x:v>COD-P26</x:v>
      </x:c>
      <x:c r="C29" s="14" t="str">
        <x:v>Kasaï</x:v>
      </x:c>
      <x:c r="D29" s="14" t="str">
        <x:v>Tshikapa</x:v>
      </x:c>
      <x:c r="E29" s="14" t="str">
        <x:v>92</x:v>
      </x:c>
      <x:c r="F29" s="14" t="n">
        <x:f>COUNTIF(Territoires!$C$4:$C$148,C29)</x:f>
        <x:v>5</x:v>
      </x:c>
      <x:c r="G29" s="14" t="n">
        <x:v>17</x:v>
      </x:c>
      <x:c r="H29" s="14" t="n">
        <x:v>3</x:v>
      </x:c>
      <x:c r="I29" s="14" t="n">
        <x:f>G29+H29</x:f>
        <x:v>20</x:v>
      </x:c>
      <x:c r="J29" s="14" t="str">
        <x:v>COMPLET_NIVEAU_PROVINCE_TERRITOIRE</x:v>
      </x:c>
      <x:c r="K29" s="14" t="str">
        <x:v>S01;S03</x:v>
      </x:c>
    </x:row>
    <x:row r="31">
      <x:c r="C31" s="10" t="str">
        <x:v>TOTAL NATIONAL</x:v>
      </x:c>
      <x:c r="D31" s="10" t="str"/>
      <x:c r="E31" s="10" t="str"/>
      <x:c r="F31" s="10" t="n">
        <x:f>SUM(F4:F29)</x:f>
        <x:v>145</x:v>
      </x:c>
      <x:c r="G31" s="10" t="n">
        <x:f>SUM(G4:G29)</x:f>
        <x:v>471</x:v>
      </x:c>
      <x:c r="H31" s="10" t="n">
        <x:f>SUM(H4:H29)</x:f>
        <x:v>263</x:v>
      </x:c>
      <x:c r="I31" s="10" t="n">
        <x:f>SUM(I4:I29)</x:f>
        <x:v>734</x:v>
      </x:c>
    </x:row>
  </x:sheetData>
  <x:mergeCells>
    <x:mergeCell ref="A1:K1"/>
    <x:mergeCell ref="A2:K2"/>
  </x:mergeCells>
  <x:pageMargins left="0.7" right="0.7" top="0.75" bottom="0.75" header="0.3" footer="0.3"/>
  <x:tableParts count="1">
    <x:tablePart xmlns:r="http://schemas.openxmlformats.org/officeDocument/2006/relationships" r:id="R4086898358b14471"/>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20" hidden="0" customWidth="1"/>
    <x:col min="4" max="4" width="23" hidden="0" customWidth="1"/>
    <x:col min="5" max="5" width="18" hidden="0" customWidth="1"/>
    <x:col min="6" max="6" width="21" hidden="0" customWidth="1"/>
    <x:col min="7" max="7" width="16" hidden="0" customWidth="1"/>
    <x:col min="8" max="8" width="29" hidden="0" customWidth="1"/>
    <x:col min="9" max="9" width="14" hidden="0" customWidth="1"/>
    <x:col min="10" max="10" width="60" hidden="0" customWidth="1"/>
    <x:col min="11" max="11" width="16" hidden="0" customWidth="1"/>
  </x:cols>
  <x:sheetData>
    <x:row r="1" ht="28" customHeight="1">
      <x:c r="A1" s="4" t="str">
        <x:v>145 territoires ruraux — référentiel de travail</x:v>
      </x:c>
      <x:c r="B1" s="4"/>
      <x:c r="C1" s="4"/>
      <x:c r="D1" s="4"/>
      <x:c r="E1" s="4"/>
      <x:c r="F1" s="4"/>
      <x:c r="G1" s="4"/>
      <x:c r="H1" s="4"/>
      <x:c r="I1" s="4"/>
      <x:c r="J1" s="4"/>
      <x:c r="K1" s="4"/>
    </x:row>
    <x:row r="2">
      <x:c r="A2" s="18" t="str">
        <x:v>Les PCodes sont conservés comme données brutes de travail et ne doivent pas être considérés comme validés. Voir la feuille QA.</x:v>
      </x:c>
      <x:c r="B2" s="18"/>
      <x:c r="C2" s="18"/>
      <x:c r="D2" s="18"/>
      <x:c r="E2" s="18"/>
      <x:c r="F2" s="18"/>
      <x:c r="G2" s="18"/>
      <x:c r="H2" s="18"/>
      <x:c r="I2" s="18"/>
      <x:c r="J2" s="18"/>
      <x:c r="K2" s="18"/>
    </x:row>
    <x:row r="3">
      <x:c r="A3" s="26" t="str">
        <x:v>territoire_id</x:v>
      </x:c>
      <x:c r="B3" s="26" t="str">
        <x:v>province_id</x:v>
      </x:c>
      <x:c r="C3" s="26" t="str">
        <x:v>province</x:v>
      </x:c>
      <x:c r="D3" s="26" t="str">
        <x:v>nom_territoire</x:v>
      </x:c>
      <x:c r="E3" s="26" t="str">
        <x:v>code_interne</x:v>
      </x:c>
      <x:c r="F3" s="26" t="str">
        <x:v>pcode_reference_brut</x:v>
      </x:c>
      <x:c r="G3" s="26" t="str">
        <x:v>prefixe_attendu</x:v>
      </x:c>
      <x:c r="H3" s="26" t="str">
        <x:v>statut_pcode</x:v>
      </x:c>
      <x:c r="I3" s="26" t="str">
        <x:v>source_pcode</x:v>
      </x:c>
      <x:c r="J3" s="26" t="str">
        <x:v>commentaire_qa</x:v>
      </x:c>
      <x:c r="K3" s="26" t="str">
        <x:v>date_integration</x:v>
      </x:c>
    </x:row>
    <x:row r="4">
      <x:c r="A4" s="14" t="n">
        <x:v>1</x:v>
      </x:c>
      <x:c r="B4" s="14" t="n">
        <x:v>2</x:v>
      </x:c>
      <x:c r="C4" s="14" t="str">
        <x:v>Kongo Central</x:v>
      </x:c>
      <x:c r="D4" s="14" t="str">
        <x:v>Kasangulu</x:v>
      </x:c>
      <x:c r="E4" s="14" t="str">
        <x:v>COD-P02-T01</x:v>
      </x:c>
      <x:c r="F4" s="14" t="str">
        <x:v>2016</x:v>
      </x:c>
      <x:c r="G4" s="14" t="str">
        <x:v>20</x:v>
      </x:c>
      <x:c r="H4" s="14" t="str">
        <x:v>SOURCE_SECONDAIRE_A_VALIDER</x:v>
      </x:c>
      <x:c r="I4" s="14" t="str">
        <x:v>S05</x:v>
      </x:c>
      <x:c r="J4" s="14" t="str">
        <x:v>PCode conservé comme valeur de travail; validation officielle requise.</x:v>
      </x:c>
      <x:c r="K4" s="14" t="str">
        <x:v>2026-09-13</x:v>
      </x:c>
    </x:row>
    <x:row r="5">
      <x:c r="A5" s="14" t="n">
        <x:v>2</x:v>
      </x:c>
      <x:c r="B5" s="14" t="n">
        <x:v>2</x:v>
      </x:c>
      <x:c r="C5" s="14" t="str">
        <x:v>Kongo Central</x:v>
      </x:c>
      <x:c r="D5" s="14" t="str">
        <x:v>Kimvula</x:v>
      </x:c>
      <x:c r="E5" s="14" t="str">
        <x:v>COD-P02-T02</x:v>
      </x:c>
      <x:c r="F5" s="14" t="str">
        <x:v>2019</x:v>
      </x:c>
      <x:c r="G5" s="14" t="str">
        <x:v>20</x:v>
      </x:c>
      <x:c r="H5" s="14" t="str">
        <x:v>SOURCE_SECONDAIRE_A_VALIDER</x:v>
      </x:c>
      <x:c r="I5" s="14" t="str">
        <x:v>S05</x:v>
      </x:c>
      <x:c r="J5" s="14" t="str">
        <x:v>PCode conservé comme valeur de travail; validation officielle requise.</x:v>
      </x:c>
      <x:c r="K5" s="14" t="str">
        <x:v>2026-09-13</x:v>
      </x:c>
    </x:row>
    <x:row r="6">
      <x:c r="A6" s="14" t="n">
        <x:v>3</x:v>
      </x:c>
      <x:c r="B6" s="14" t="n">
        <x:v>2</x:v>
      </x:c>
      <x:c r="C6" s="14" t="str">
        <x:v>Kongo Central</x:v>
      </x:c>
      <x:c r="D6" s="14" t="str">
        <x:v>Lukula</x:v>
      </x:c>
      <x:c r="E6" s="14" t="str">
        <x:v>COD-P02-T03</x:v>
      </x:c>
      <x:c r="F6" s="14" t="str">
        <x:v>2006</x:v>
      </x:c>
      <x:c r="G6" s="14" t="str">
        <x:v>20</x:v>
      </x:c>
      <x:c r="H6" s="14" t="str">
        <x:v>SOURCE_SECONDAIRE_A_VALIDER</x:v>
      </x:c>
      <x:c r="I6" s="14" t="str">
        <x:v>S05</x:v>
      </x:c>
      <x:c r="J6" s="14" t="str">
        <x:v>PCode conservé comme valeur de travail; validation officielle requise.</x:v>
      </x:c>
      <x:c r="K6" s="14" t="str">
        <x:v>2026-09-13</x:v>
      </x:c>
    </x:row>
    <x:row r="7">
      <x:c r="A7" s="14" t="n">
        <x:v>4</x:v>
      </x:c>
      <x:c r="B7" s="14" t="n">
        <x:v>2</x:v>
      </x:c>
      <x:c r="C7" s="14" t="str">
        <x:v>Kongo Central</x:v>
      </x:c>
      <x:c r="D7" s="14" t="str">
        <x:v>Luozi</x:v>
      </x:c>
      <x:c r="E7" s="14" t="str">
        <x:v>COD-P02-T04</x:v>
      </x:c>
      <x:c r="F7" s="14" t="str">
        <x:v>2010</x:v>
      </x:c>
      <x:c r="G7" s="14" t="str">
        <x:v>20</x:v>
      </x:c>
      <x:c r="H7" s="14" t="str">
        <x:v>SOURCE_SECONDAIRE_A_VALIDER</x:v>
      </x:c>
      <x:c r="I7" s="14" t="str">
        <x:v>S05</x:v>
      </x:c>
      <x:c r="J7" s="14" t="str">
        <x:v>PCode conservé comme valeur de travail; validation officielle requise.</x:v>
      </x:c>
      <x:c r="K7" s="14" t="str">
        <x:v>2026-09-13</x:v>
      </x:c>
    </x:row>
    <x:row r="8">
      <x:c r="A8" s="14" t="n">
        <x:v>5</x:v>
      </x:c>
      <x:c r="B8" s="14" t="n">
        <x:v>2</x:v>
      </x:c>
      <x:c r="C8" s="14" t="str">
        <x:v>Kongo Central</x:v>
      </x:c>
      <x:c r="D8" s="14" t="str">
        <x:v>Madimba</x:v>
      </x:c>
      <x:c r="E8" s="14" t="str">
        <x:v>COD-P02-T05</x:v>
      </x:c>
      <x:c r="F8" s="14" t="str">
        <x:v>2017</x:v>
      </x:c>
      <x:c r="G8" s="14" t="str">
        <x:v>20</x:v>
      </x:c>
      <x:c r="H8" s="14" t="str">
        <x:v>SOURCE_SECONDAIRE_A_VALIDER</x:v>
      </x:c>
      <x:c r="I8" s="14" t="str">
        <x:v>S05</x:v>
      </x:c>
      <x:c r="J8" s="14" t="str">
        <x:v>PCode conservé comme valeur de travail; validation officielle requise.</x:v>
      </x:c>
      <x:c r="K8" s="14" t="str">
        <x:v>2026-09-13</x:v>
      </x:c>
    </x:row>
    <x:row r="9">
      <x:c r="A9" s="14" t="n">
        <x:v>6</x:v>
      </x:c>
      <x:c r="B9" s="14" t="n">
        <x:v>2</x:v>
      </x:c>
      <x:c r="C9" s="14" t="str">
        <x:v>Kongo Central</x:v>
      </x:c>
      <x:c r="D9" s="14" t="str">
        <x:v>Mbanza-Ngungu</x:v>
      </x:c>
      <x:c r="E9" s="14" t="str">
        <x:v>COD-P02-T06</x:v>
      </x:c>
      <x:c r="F9" s="14" t="str">
        <x:v>2014</x:v>
      </x:c>
      <x:c r="G9" s="14" t="str">
        <x:v>20</x:v>
      </x:c>
      <x:c r="H9" s="14" t="str">
        <x:v>SOURCE_SECONDAIRE_A_VALIDER</x:v>
      </x:c>
      <x:c r="I9" s="14" t="str">
        <x:v>S05</x:v>
      </x:c>
      <x:c r="J9" s="14" t="str">
        <x:v>PCode conservé comme valeur de travail; validation officielle requise.</x:v>
      </x:c>
      <x:c r="K9" s="14" t="str">
        <x:v>2026-09-13</x:v>
      </x:c>
    </x:row>
    <x:row r="10">
      <x:c r="A10" s="14" t="n">
        <x:v>7</x:v>
      </x:c>
      <x:c r="B10" s="14" t="n">
        <x:v>2</x:v>
      </x:c>
      <x:c r="C10" s="14" t="str">
        <x:v>Kongo Central</x:v>
      </x:c>
      <x:c r="D10" s="14" t="str">
        <x:v>Moanda</x:v>
      </x:c>
      <x:c r="E10" s="14" t="str">
        <x:v>COD-P02-T07</x:v>
      </x:c>
      <x:c r="F10" s="14" t="str">
        <x:v>2004</x:v>
      </x:c>
      <x:c r="G10" s="14" t="str">
        <x:v>20</x:v>
      </x:c>
      <x:c r="H10" s="14" t="str">
        <x:v>SOURCE_SECONDAIRE_A_VALIDER</x:v>
      </x:c>
      <x:c r="I10" s="14" t="str">
        <x:v>S05</x:v>
      </x:c>
      <x:c r="J10" s="14" t="str">
        <x:v>PCode conservé comme valeur de travail; validation officielle requise.</x:v>
      </x:c>
      <x:c r="K10" s="14" t="str">
        <x:v>2026-09-13</x:v>
      </x:c>
    </x:row>
    <x:row r="11">
      <x:c r="A11" s="14" t="n">
        <x:v>8</x:v>
      </x:c>
      <x:c r="B11" s="14" t="n">
        <x:v>2</x:v>
      </x:c>
      <x:c r="C11" s="14" t="str">
        <x:v>Kongo Central</x:v>
      </x:c>
      <x:c r="D11" s="14" t="str">
        <x:v>Seke-Banza</x:v>
      </x:c>
      <x:c r="E11" s="14" t="str">
        <x:v>COD-P02-T08</x:v>
      </x:c>
      <x:c r="F11" s="14" t="str">
        <x:v>2009</x:v>
      </x:c>
      <x:c r="G11" s="14" t="str">
        <x:v>20</x:v>
      </x:c>
      <x:c r="H11" s="14" t="str">
        <x:v>SOURCE_SECONDAIRE_A_VALIDER</x:v>
      </x:c>
      <x:c r="I11" s="14" t="str">
        <x:v>S05</x:v>
      </x:c>
      <x:c r="J11" s="14" t="str">
        <x:v>PCode conservé comme valeur de travail; validation officielle requise.</x:v>
      </x:c>
      <x:c r="K11" s="14" t="str">
        <x:v>2026-09-13</x:v>
      </x:c>
    </x:row>
    <x:row r="12">
      <x:c r="A12" s="14" t="n">
        <x:v>9</x:v>
      </x:c>
      <x:c r="B12" s="14" t="n">
        <x:v>2</x:v>
      </x:c>
      <x:c r="C12" s="14" t="str">
        <x:v>Kongo Central</x:v>
      </x:c>
      <x:c r="D12" s="14" t="str">
        <x:v>Songololo</x:v>
      </x:c>
      <x:c r="E12" s="14" t="str">
        <x:v>COD-P02-T09</x:v>
      </x:c>
      <x:c r="F12" s="14" t="str">
        <x:v>2011</x:v>
      </x:c>
      <x:c r="G12" s="14" t="str">
        <x:v>20</x:v>
      </x:c>
      <x:c r="H12" s="14" t="str">
        <x:v>SOURCE_SECONDAIRE_A_VALIDER</x:v>
      </x:c>
      <x:c r="I12" s="14" t="str">
        <x:v>S05</x:v>
      </x:c>
      <x:c r="J12" s="14" t="str">
        <x:v>PCode conservé comme valeur de travail; validation officielle requise.</x:v>
      </x:c>
      <x:c r="K12" s="14" t="str">
        <x:v>2026-09-13</x:v>
      </x:c>
    </x:row>
    <x:row r="13">
      <x:c r="A13" s="14" t="n">
        <x:v>10</x:v>
      </x:c>
      <x:c r="B13" s="14" t="n">
        <x:v>2</x:v>
      </x:c>
      <x:c r="C13" s="14" t="str">
        <x:v>Kongo Central</x:v>
      </x:c>
      <x:c r="D13" s="14" t="str">
        <x:v>Tshela</x:v>
      </x:c>
      <x:c r="E13" s="14" t="str">
        <x:v>COD-P02-T10</x:v>
      </x:c>
      <x:c r="F13" s="14" t="str">
        <x:v>2008</x:v>
      </x:c>
      <x:c r="G13" s="14" t="str">
        <x:v>20</x:v>
      </x:c>
      <x:c r="H13" s="14" t="str">
        <x:v>SOURCE_SECONDAIRE_A_VALIDER</x:v>
      </x:c>
      <x:c r="I13" s="14" t="str">
        <x:v>S05</x:v>
      </x:c>
      <x:c r="J13" s="14" t="str">
        <x:v>PCode conservé comme valeur de travail; validation officielle requise.</x:v>
      </x:c>
      <x:c r="K13" s="14" t="str">
        <x:v>2026-09-13</x:v>
      </x:c>
    </x:row>
    <x:row r="14">
      <x:c r="A14" s="14" t="n">
        <x:v>11</x:v>
      </x:c>
      <x:c r="B14" s="14" t="n">
        <x:v>3</x:v>
      </x:c>
      <x:c r="C14" s="14" t="str">
        <x:v>Kwango</x:v>
      </x:c>
      <x:c r="D14" s="14" t="str">
        <x:v>Feshi</x:v>
      </x:c>
      <x:c r="E14" s="14" t="str">
        <x:v>COD-P03-T01</x:v>
      </x:c>
      <x:c r="F14" s="14" t="str">
        <x:v>3103</x:v>
      </x:c>
      <x:c r="G14" s="14" t="str">
        <x:v>31</x:v>
      </x:c>
      <x:c r="H14" s="14" t="str">
        <x:v>SOURCE_SECONDAIRE_A_VALIDER</x:v>
      </x:c>
      <x:c r="I14" s="14" t="str">
        <x:v>S05</x:v>
      </x:c>
      <x:c r="J14" s="14" t="str">
        <x:v>PCode conservé comme valeur de travail; validation officielle requise.</x:v>
      </x:c>
      <x:c r="K14" s="14" t="str">
        <x:v>2026-09-13</x:v>
      </x:c>
    </x:row>
    <x:row r="15">
      <x:c r="A15" s="14" t="n">
        <x:v>12</x:v>
      </x:c>
      <x:c r="B15" s="14" t="n">
        <x:v>3</x:v>
      </x:c>
      <x:c r="C15" s="14" t="str">
        <x:v>Kwango</x:v>
      </x:c>
      <x:c r="D15" s="14" t="str">
        <x:v>Kahemba</x:v>
      </x:c>
      <x:c r="E15" s="14" t="str">
        <x:v>COD-P03-T02</x:v>
      </x:c>
      <x:c r="F15" s="14" t="str">
        <x:v>3105</x:v>
      </x:c>
      <x:c r="G15" s="14" t="str">
        <x:v>31</x:v>
      </x:c>
      <x:c r="H15" s="14" t="str">
        <x:v>SOURCE_SECONDAIRE_A_VALIDER</x:v>
      </x:c>
      <x:c r="I15" s="14" t="str">
        <x:v>S05</x:v>
      </x:c>
      <x:c r="J15" s="14" t="str">
        <x:v>PCode conservé comme valeur de travail; validation officielle requise.</x:v>
      </x:c>
      <x:c r="K15" s="14" t="str">
        <x:v>2026-09-13</x:v>
      </x:c>
    </x:row>
    <x:row r="16">
      <x:c r="A16" s="14" t="n">
        <x:v>13</x:v>
      </x:c>
      <x:c r="B16" s="14" t="n">
        <x:v>3</x:v>
      </x:c>
      <x:c r="C16" s="14" t="str">
        <x:v>Kwango</x:v>
      </x:c>
      <x:c r="D16" s="14" t="str">
        <x:v>Kasongo-Lunda</x:v>
      </x:c>
      <x:c r="E16" s="14" t="str">
        <x:v>COD-P03-T03</x:v>
      </x:c>
      <x:c r="F16" s="14" t="str">
        <x:v>3107</x:v>
      </x:c>
      <x:c r="G16" s="14" t="str">
        <x:v>31</x:v>
      </x:c>
      <x:c r="H16" s="14" t="str">
        <x:v>SOURCE_SECONDAIRE_A_VALIDER</x:v>
      </x:c>
      <x:c r="I16" s="14" t="str">
        <x:v>S05</x:v>
      </x:c>
      <x:c r="J16" s="14" t="str">
        <x:v>PCode conservé comme valeur de travail; validation officielle requise.</x:v>
      </x:c>
      <x:c r="K16" s="14" t="str">
        <x:v>2026-09-13</x:v>
      </x:c>
    </x:row>
    <x:row r="17">
      <x:c r="A17" s="14" t="n">
        <x:v>14</x:v>
      </x:c>
      <x:c r="B17" s="14" t="n">
        <x:v>3</x:v>
      </x:c>
      <x:c r="C17" s="14" t="str">
        <x:v>Kwango</x:v>
      </x:c>
      <x:c r="D17" s="14" t="str">
        <x:v>Kenge</x:v>
      </x:c>
      <x:c r="E17" s="14" t="str">
        <x:v>COD-P03-T04</x:v>
      </x:c>
      <x:c r="F17" s="14" t="str">
        <x:v>3102</x:v>
      </x:c>
      <x:c r="G17" s="14" t="str">
        <x:v>31</x:v>
      </x:c>
      <x:c r="H17" s="14" t="str">
        <x:v>SOURCE_SECONDAIRE_A_VALIDER</x:v>
      </x:c>
      <x:c r="I17" s="14" t="str">
        <x:v>S05</x:v>
      </x:c>
      <x:c r="J17" s="14" t="str">
        <x:v>PCode conservé comme valeur de travail; validation officielle requise.</x:v>
      </x:c>
      <x:c r="K17" s="14" t="str">
        <x:v>2026-09-13</x:v>
      </x:c>
    </x:row>
    <x:row r="18">
      <x:c r="A18" s="14" t="n">
        <x:v>15</x:v>
      </x:c>
      <x:c r="B18" s="14" t="n">
        <x:v>3</x:v>
      </x:c>
      <x:c r="C18" s="14" t="str">
        <x:v>Kwango</x:v>
      </x:c>
      <x:c r="D18" s="14" t="str">
        <x:v>Popokabaka</x:v>
      </x:c>
      <x:c r="E18" s="14" t="str">
        <x:v>COD-P03-T05</x:v>
      </x:c>
      <x:c r="F18" s="14" t="str">
        <x:v>3108</x:v>
      </x:c>
      <x:c r="G18" s="14" t="str">
        <x:v>31</x:v>
      </x:c>
      <x:c r="H18" s="14" t="str">
        <x:v>SOURCE_SECONDAIRE_A_VALIDER</x:v>
      </x:c>
      <x:c r="I18" s="14" t="str">
        <x:v>S05</x:v>
      </x:c>
      <x:c r="J18" s="14" t="str">
        <x:v>PCode conservé comme valeur de travail; validation officielle requise.</x:v>
      </x:c>
      <x:c r="K18" s="14" t="str">
        <x:v>2026-09-13</x:v>
      </x:c>
    </x:row>
    <x:row r="19">
      <x:c r="A19" s="14" t="n">
        <x:v>16</x:v>
      </x:c>
      <x:c r="B19" s="14" t="n">
        <x:v>4</x:v>
      </x:c>
      <x:c r="C19" s="14" t="str">
        <x:v>Kwilu</x:v>
      </x:c>
      <x:c r="D19" s="14" t="str">
        <x:v>Bagata</x:v>
      </x:c>
      <x:c r="E19" s="14" t="str">
        <x:v>COD-P04-T01</x:v>
      </x:c>
      <x:c r="F19" s="14" t="str">
        <x:v>3202</x:v>
      </x:c>
      <x:c r="G19" s="14" t="str">
        <x:v>32</x:v>
      </x:c>
      <x:c r="H19" s="14" t="str">
        <x:v>SOURCE_SECONDAIRE_A_VALIDER</x:v>
      </x:c>
      <x:c r="I19" s="14" t="str">
        <x:v>S05</x:v>
      </x:c>
      <x:c r="J19" s="14" t="str">
        <x:v>PCode conservé comme valeur de travail; validation officielle requise.</x:v>
      </x:c>
      <x:c r="K19" s="14" t="str">
        <x:v>2026-09-13</x:v>
      </x:c>
    </x:row>
    <x:row r="20">
      <x:c r="A20" s="14" t="n">
        <x:v>17</x:v>
      </x:c>
      <x:c r="B20" s="14" t="n">
        <x:v>4</x:v>
      </x:c>
      <x:c r="C20" s="14" t="str">
        <x:v>Kwilu</x:v>
      </x:c>
      <x:c r="D20" s="14" t="str">
        <x:v>Bulungu</x:v>
      </x:c>
      <x:c r="E20" s="14" t="str">
        <x:v>COD-P04-T02</x:v>
      </x:c>
      <x:c r="F20" s="14" t="str">
        <x:v>3205</x:v>
      </x:c>
      <x:c r="G20" s="14" t="str">
        <x:v>32</x:v>
      </x:c>
      <x:c r="H20" s="14" t="str">
        <x:v>SOURCE_SECONDAIRE_A_VALIDER</x:v>
      </x:c>
      <x:c r="I20" s="14" t="str">
        <x:v>S05</x:v>
      </x:c>
      <x:c r="J20" s="14" t="str">
        <x:v>PCode conservé comme valeur de travail; validation officielle requise.</x:v>
      </x:c>
      <x:c r="K20" s="14" t="str">
        <x:v>2026-09-13</x:v>
      </x:c>
    </x:row>
    <x:row r="21">
      <x:c r="A21" s="14" t="n">
        <x:v>18</x:v>
      </x:c>
      <x:c r="B21" s="14" t="n">
        <x:v>4</x:v>
      </x:c>
      <x:c r="C21" s="14" t="str">
        <x:v>Kwilu</x:v>
      </x:c>
      <x:c r="D21" s="14" t="str">
        <x:v>Gungu</x:v>
      </x:c>
      <x:c r="E21" s="14" t="str">
        <x:v>COD-P04-T03</x:v>
      </x:c>
      <x:c r="F21" s="14" t="str">
        <x:v>3211</x:v>
      </x:c>
      <x:c r="G21" s="14" t="str">
        <x:v>32</x:v>
      </x:c>
      <x:c r="H21" s="14" t="str">
        <x:v>SOURCE_SECONDAIRE_A_VALIDER</x:v>
      </x:c>
      <x:c r="I21" s="14" t="str">
        <x:v>S05</x:v>
      </x:c>
      <x:c r="J21" s="14" t="str">
        <x:v>PCode conservé comme valeur de travail; validation officielle requise.</x:v>
      </x:c>
      <x:c r="K21" s="14" t="str">
        <x:v>2026-09-13</x:v>
      </x:c>
    </x:row>
    <x:row r="22">
      <x:c r="A22" s="14" t="n">
        <x:v>19</x:v>
      </x:c>
      <x:c r="B22" s="14" t="n">
        <x:v>4</x:v>
      </x:c>
      <x:c r="C22" s="14" t="str">
        <x:v>Kwilu</x:v>
      </x:c>
      <x:c r="D22" s="14" t="str">
        <x:v>Idiofa</x:v>
      </x:c>
      <x:c r="E22" s="14" t="str">
        <x:v>COD-P04-T04</x:v>
      </x:c>
      <x:c r="F22" s="14" t="str">
        <x:v>3207</x:v>
      </x:c>
      <x:c r="G22" s="14" t="str">
        <x:v>32</x:v>
      </x:c>
      <x:c r="H22" s="14" t="str">
        <x:v>SOURCE_SECONDAIRE_A_VALIDER</x:v>
      </x:c>
      <x:c r="I22" s="14" t="str">
        <x:v>S05</x:v>
      </x:c>
      <x:c r="J22" s="14" t="str">
        <x:v>PCode conservé comme valeur de travail; validation officielle requise.</x:v>
      </x:c>
      <x:c r="K22" s="14" t="str">
        <x:v>2026-09-13</x:v>
      </x:c>
    </x:row>
    <x:row r="23">
      <x:c r="A23" s="14" t="n">
        <x:v>20</x:v>
      </x:c>
      <x:c r="B23" s="14" t="n">
        <x:v>4</x:v>
      </x:c>
      <x:c r="C23" s="14" t="str">
        <x:v>Kwilu</x:v>
      </x:c>
      <x:c r="D23" s="14" t="str">
        <x:v>Masi-Manimba</x:v>
      </x:c>
      <x:c r="E23" s="14" t="str">
        <x:v>COD-P04-T05</x:v>
      </x:c>
      <x:c r="F23" s="14" t="str">
        <x:v>3213</x:v>
      </x:c>
      <x:c r="G23" s="14" t="str">
        <x:v>32</x:v>
      </x:c>
      <x:c r="H23" s="14" t="str">
        <x:v>SOURCE_SECONDAIRE_A_VALIDER</x:v>
      </x:c>
      <x:c r="I23" s="14" t="str">
        <x:v>S05</x:v>
      </x:c>
      <x:c r="J23" s="14" t="str">
        <x:v>PCode conservé comme valeur de travail; validation officielle requise.</x:v>
      </x:c>
      <x:c r="K23" s="14" t="str">
        <x:v>2026-09-13</x:v>
      </x:c>
    </x:row>
    <x:row r="24">
      <x:c r="A24" s="14" t="n">
        <x:v>21</x:v>
      </x:c>
      <x:c r="B24" s="14" t="n">
        <x:v>5</x:v>
      </x:c>
      <x:c r="C24" s="14" t="str">
        <x:v>Mai-Ndombe</x:v>
      </x:c>
      <x:c r="D24" s="14" t="str">
        <x:v>Bolobo</x:v>
      </x:c>
      <x:c r="E24" s="14" t="str">
        <x:v>COD-P05-T01</x:v>
      </x:c>
      <x:c r="F24" s="14" t="str">
        <x:v>3309</x:v>
      </x:c>
      <x:c r="G24" s="14" t="str">
        <x:v>33</x:v>
      </x:c>
      <x:c r="H24" s="14" t="str">
        <x:v>SOURCE_SECONDAIRE_A_VALIDER</x:v>
      </x:c>
      <x:c r="I24" s="14" t="str">
        <x:v>S05</x:v>
      </x:c>
      <x:c r="J24" s="14" t="str">
        <x:v>PCode conservé comme valeur de travail; validation officielle requise.</x:v>
      </x:c>
      <x:c r="K24" s="14" t="str">
        <x:v>2026-09-13</x:v>
      </x:c>
    </x:row>
    <x:row r="25">
      <x:c r="A25" s="14" t="n">
        <x:v>22</x:v>
      </x:c>
      <x:c r="B25" s="14" t="n">
        <x:v>5</x:v>
      </x:c>
      <x:c r="C25" s="14" t="str">
        <x:v>Mai-Ndombe</x:v>
      </x:c>
      <x:c r="D25" s="14" t="str">
        <x:v>Inongo</x:v>
      </x:c>
      <x:c r="E25" s="14" t="str">
        <x:v>COD-P05-T02</x:v>
      </x:c>
      <x:c r="F25" s="14" t="str">
        <x:v>3302</x:v>
      </x:c>
      <x:c r="G25" s="14" t="str">
        <x:v>33</x:v>
      </x:c>
      <x:c r="H25" s="14" t="str">
        <x:v>SOURCE_SECONDAIRE_A_VALIDER</x:v>
      </x:c>
      <x:c r="I25" s="14" t="str">
        <x:v>S05</x:v>
      </x:c>
      <x:c r="J25" s="14" t="str">
        <x:v>PCode conservé comme valeur de travail; validation officielle requise.</x:v>
      </x:c>
      <x:c r="K25" s="14" t="str">
        <x:v>2026-09-13</x:v>
      </x:c>
    </x:row>
    <x:row r="26">
      <x:c r="A26" s="14" t="n">
        <x:v>23</x:v>
      </x:c>
      <x:c r="B26" s="14" t="n">
        <x:v>5</x:v>
      </x:c>
      <x:c r="C26" s="14" t="str">
        <x:v>Mai-Ndombe</x:v>
      </x:c>
      <x:c r="D26" s="14" t="str">
        <x:v>Kiri</x:v>
      </x:c>
      <x:c r="E26" s="14" t="str">
        <x:v>COD-P05-T03</x:v>
      </x:c>
      <x:c r="F26" s="14" t="str">
        <x:v>3303</x:v>
      </x:c>
      <x:c r="G26" s="14" t="str">
        <x:v>33</x:v>
      </x:c>
      <x:c r="H26" s="14" t="str">
        <x:v>SOURCE_SECONDAIRE_A_VALIDER</x:v>
      </x:c>
      <x:c r="I26" s="14" t="str">
        <x:v>S05</x:v>
      </x:c>
      <x:c r="J26" s="14" t="str">
        <x:v>PCode conservé comme valeur de travail; validation officielle requise.</x:v>
      </x:c>
      <x:c r="K26" s="14" t="str">
        <x:v>2026-09-13</x:v>
      </x:c>
    </x:row>
    <x:row r="27">
      <x:c r="A27" s="14" t="n">
        <x:v>24</x:v>
      </x:c>
      <x:c r="B27" s="14" t="n">
        <x:v>5</x:v>
      </x:c>
      <x:c r="C27" s="14" t="str">
        <x:v>Mai-Ndombe</x:v>
      </x:c>
      <x:c r="D27" s="14" t="str">
        <x:v>Kutu</x:v>
      </x:c>
      <x:c r="E27" s="14" t="str">
        <x:v>COD-P05-T04</x:v>
      </x:c>
      <x:c r="F27" s="14" t="str">
        <x:v>3306</x:v>
      </x:c>
      <x:c r="G27" s="14" t="str">
        <x:v>33</x:v>
      </x:c>
      <x:c r="H27" s="14" t="str">
        <x:v>SOURCE_SECONDAIRE_A_VALIDER</x:v>
      </x:c>
      <x:c r="I27" s="14" t="str">
        <x:v>S05</x:v>
      </x:c>
      <x:c r="J27" s="14" t="str">
        <x:v>PCode conservé comme valeur de travail; validation officielle requise.</x:v>
      </x:c>
      <x:c r="K27" s="14" t="str">
        <x:v>2026-09-13</x:v>
      </x:c>
    </x:row>
    <x:row r="28">
      <x:c r="A28" s="14" t="n">
        <x:v>25</x:v>
      </x:c>
      <x:c r="B28" s="14" t="n">
        <x:v>5</x:v>
      </x:c>
      <x:c r="C28" s="14" t="str">
        <x:v>Mai-Ndombe</x:v>
      </x:c>
      <x:c r="D28" s="14" t="str">
        <x:v>Kwamouth</x:v>
      </x:c>
      <x:c r="E28" s="14" t="str">
        <x:v>COD-P05-T05</x:v>
      </x:c>
      <x:c r="F28" s="14" t="str">
        <x:v>3307</x:v>
      </x:c>
      <x:c r="G28" s="14" t="str">
        <x:v>33</x:v>
      </x:c>
      <x:c r="H28" s="14" t="str">
        <x:v>SOURCE_SECONDAIRE_A_VALIDER</x:v>
      </x:c>
      <x:c r="I28" s="14" t="str">
        <x:v>S05</x:v>
      </x:c>
      <x:c r="J28" s="14" t="str">
        <x:v>PCode conservé comme valeur de travail; validation officielle requise.</x:v>
      </x:c>
      <x:c r="K28" s="14" t="str">
        <x:v>2026-09-13</x:v>
      </x:c>
    </x:row>
    <x:row r="29">
      <x:c r="A29" s="14" t="n">
        <x:v>26</x:v>
      </x:c>
      <x:c r="B29" s="14" t="n">
        <x:v>5</x:v>
      </x:c>
      <x:c r="C29" s="14" t="str">
        <x:v>Mai-Ndombe</x:v>
      </x:c>
      <x:c r="D29" s="14" t="str">
        <x:v>Mushie</x:v>
      </x:c>
      <x:c r="E29" s="14" t="str">
        <x:v>COD-P05-T06</x:v>
      </x:c>
      <x:c r="F29" s="14" t="str">
        <x:v>3311</x:v>
      </x:c>
      <x:c r="G29" s="14" t="str">
        <x:v>33</x:v>
      </x:c>
      <x:c r="H29" s="14" t="str">
        <x:v>SOURCE_SECONDAIRE_A_VALIDER</x:v>
      </x:c>
      <x:c r="I29" s="14" t="str">
        <x:v>S05</x:v>
      </x:c>
      <x:c r="J29" s="14" t="str">
        <x:v>PCode conservé comme valeur de travail; validation officielle requise.</x:v>
      </x:c>
      <x:c r="K29" s="14" t="str">
        <x:v>2026-09-13</x:v>
      </x:c>
    </x:row>
    <x:row r="30">
      <x:c r="A30" s="14" t="n">
        <x:v>27</x:v>
      </x:c>
      <x:c r="B30" s="14" t="n">
        <x:v>5</x:v>
      </x:c>
      <x:c r="C30" s="14" t="str">
        <x:v>Mai-Ndombe</x:v>
      </x:c>
      <x:c r="D30" s="14" t="str">
        <x:v>Oshwe</x:v>
      </x:c>
      <x:c r="E30" s="14" t="str">
        <x:v>COD-P05-T07</x:v>
      </x:c>
      <x:c r="F30" s="14" t="str">
        <x:v>3304</x:v>
      </x:c>
      <x:c r="G30" s="14" t="str">
        <x:v>33</x:v>
      </x:c>
      <x:c r="H30" s="14" t="str">
        <x:v>SOURCE_SECONDAIRE_A_VALIDER</x:v>
      </x:c>
      <x:c r="I30" s="14" t="str">
        <x:v>S05</x:v>
      </x:c>
      <x:c r="J30" s="14" t="str">
        <x:v>PCode conservé comme valeur de travail; validation officielle requise.</x:v>
      </x:c>
      <x:c r="K30" s="14" t="str">
        <x:v>2026-09-13</x:v>
      </x:c>
    </x:row>
    <x:row r="31">
      <x:c r="A31" s="14" t="n">
        <x:v>28</x:v>
      </x:c>
      <x:c r="B31" s="14" t="n">
        <x:v>5</x:v>
      </x:c>
      <x:c r="C31" s="14" t="str">
        <x:v>Mai-Ndombe</x:v>
      </x:c>
      <x:c r="D31" s="14" t="str">
        <x:v>Yumbi</x:v>
      </x:c>
      <x:c r="E31" s="14" t="str">
        <x:v>COD-P05-T08</x:v>
      </x:c>
      <x:c r="F31" s="14" t="str">
        <x:v>3310</x:v>
      </x:c>
      <x:c r="G31" s="14" t="str">
        <x:v>33</x:v>
      </x:c>
      <x:c r="H31" s="14" t="str">
        <x:v>SOURCE_SECONDAIRE_A_VALIDER</x:v>
      </x:c>
      <x:c r="I31" s="14" t="str">
        <x:v>S05</x:v>
      </x:c>
      <x:c r="J31" s="14" t="str">
        <x:v>PCode conservé comme valeur de travail; validation officielle requise.</x:v>
      </x:c>
      <x:c r="K31" s="14" t="str">
        <x:v>2026-09-13</x:v>
      </x:c>
    </x:row>
    <x:row r="32">
      <x:c r="A32" s="14" t="n">
        <x:v>29</x:v>
      </x:c>
      <x:c r="B32" s="14" t="n">
        <x:v>6</x:v>
      </x:c>
      <x:c r="C32" s="14" t="str">
        <x:v>Équateur</x:v>
      </x:c>
      <x:c r="D32" s="14" t="str">
        <x:v>Basankusu</x:v>
      </x:c>
      <x:c r="E32" s="14" t="str">
        <x:v>COD-P06-T01</x:v>
      </x:c>
      <x:c r="F32" s="14" t="str">
        <x:v>4107</x:v>
      </x:c>
      <x:c r="G32" s="14" t="str">
        <x:v>41</x:v>
      </x:c>
      <x:c r="H32" s="14" t="str">
        <x:v>SOURCE_SECONDAIRE_A_VALIDER</x:v>
      </x:c>
      <x:c r="I32" s="14" t="str">
        <x:v>S05</x:v>
      </x:c>
      <x:c r="J32" s="14" t="str">
        <x:v>PCode conservé comme valeur de travail; validation officielle requise.</x:v>
      </x:c>
      <x:c r="K32" s="14" t="str">
        <x:v>2026-09-13</x:v>
      </x:c>
    </x:row>
    <x:row r="33">
      <x:c r="A33" s="14" t="n">
        <x:v>30</x:v>
      </x:c>
      <x:c r="B33" s="14" t="n">
        <x:v>6</x:v>
      </x:c>
      <x:c r="C33" s="14" t="str">
        <x:v>Équateur</x:v>
      </x:c>
      <x:c r="D33" s="14" t="str">
        <x:v>Bikoro</x:v>
      </x:c>
      <x:c r="E33" s="14" t="str">
        <x:v>COD-P06-T02</x:v>
      </x:c>
      <x:c r="F33" s="14" t="str">
        <x:v>4102</x:v>
      </x:c>
      <x:c r="G33" s="14" t="str">
        <x:v>41</x:v>
      </x:c>
      <x:c r="H33" s="14" t="str">
        <x:v>SOURCE_SECONDAIRE_A_VALIDER</x:v>
      </x:c>
      <x:c r="I33" s="14" t="str">
        <x:v>S05</x:v>
      </x:c>
      <x:c r="J33" s="14" t="str">
        <x:v>PCode conservé comme valeur de travail; validation officielle requise.</x:v>
      </x:c>
      <x:c r="K33" s="14" t="str">
        <x:v>2026-09-13</x:v>
      </x:c>
    </x:row>
    <x:row r="34">
      <x:c r="A34" s="14" t="n">
        <x:v>31</x:v>
      </x:c>
      <x:c r="B34" s="14" t="n">
        <x:v>6</x:v>
      </x:c>
      <x:c r="C34" s="14" t="str">
        <x:v>Équateur</x:v>
      </x:c>
      <x:c r="D34" s="14" t="str">
        <x:v>Bolomba</x:v>
      </x:c>
      <x:c r="E34" s="14" t="str">
        <x:v>COD-P06-T03</x:v>
      </x:c>
      <x:c r="F34" s="14" t="str">
        <x:v>4108</x:v>
      </x:c>
      <x:c r="G34" s="14" t="str">
        <x:v>41</x:v>
      </x:c>
      <x:c r="H34" s="14" t="str">
        <x:v>SOURCE_SECONDAIRE_A_VALIDER</x:v>
      </x:c>
      <x:c r="I34" s="14" t="str">
        <x:v>S05</x:v>
      </x:c>
      <x:c r="J34" s="14" t="str">
        <x:v>PCode conservé comme valeur de travail; validation officielle requise.</x:v>
      </x:c>
      <x:c r="K34" s="14" t="str">
        <x:v>2026-09-13</x:v>
      </x:c>
    </x:row>
    <x:row r="35">
      <x:c r="A35" s="14" t="n">
        <x:v>32</x:v>
      </x:c>
      <x:c r="B35" s="14" t="n">
        <x:v>6</x:v>
      </x:c>
      <x:c r="C35" s="14" t="str">
        <x:v>Équateur</x:v>
      </x:c>
      <x:c r="D35" s="14" t="str">
        <x:v>Bomongo</x:v>
      </x:c>
      <x:c r="E35" s="14" t="str">
        <x:v>COD-P06-T04</x:v>
      </x:c>
      <x:c r="F35" s="14" t="str">
        <x:v>4104</x:v>
      </x:c>
      <x:c r="G35" s="14" t="str">
        <x:v>41</x:v>
      </x:c>
      <x:c r="H35" s="14" t="str">
        <x:v>SOURCE_SECONDAIRE_A_VALIDER</x:v>
      </x:c>
      <x:c r="I35" s="14" t="str">
        <x:v>S05</x:v>
      </x:c>
      <x:c r="J35" s="14" t="str">
        <x:v>PCode conservé comme valeur de travail; validation officielle requise.</x:v>
      </x:c>
      <x:c r="K35" s="14" t="str">
        <x:v>2026-09-13</x:v>
      </x:c>
    </x:row>
    <x:row r="36">
      <x:c r="A36" s="14" t="n">
        <x:v>33</x:v>
      </x:c>
      <x:c r="B36" s="14" t="n">
        <x:v>6</x:v>
      </x:c>
      <x:c r="C36" s="14" t="str">
        <x:v>Équateur</x:v>
      </x:c>
      <x:c r="D36" s="14" t="str">
        <x:v>Ingende</x:v>
      </x:c>
      <x:c r="E36" s="14" t="str">
        <x:v>COD-P06-T05</x:v>
      </x:c>
      <x:c r="F36" s="14" t="str">
        <x:v>4109</x:v>
      </x:c>
      <x:c r="G36" s="14" t="str">
        <x:v>41</x:v>
      </x:c>
      <x:c r="H36" s="14" t="str">
        <x:v>SOURCE_SECONDAIRE_A_VALIDER</x:v>
      </x:c>
      <x:c r="I36" s="14" t="str">
        <x:v>S05</x:v>
      </x:c>
      <x:c r="J36" s="14" t="str">
        <x:v>PCode conservé comme valeur de travail; validation officielle requise.</x:v>
      </x:c>
      <x:c r="K36" s="14" t="str">
        <x:v>2026-09-13</x:v>
      </x:c>
    </x:row>
    <x:row r="37">
      <x:c r="A37" s="14" t="n">
        <x:v>34</x:v>
      </x:c>
      <x:c r="B37" s="14" t="n">
        <x:v>6</x:v>
      </x:c>
      <x:c r="C37" s="14" t="str">
        <x:v>Équateur</x:v>
      </x:c>
      <x:c r="D37" s="14" t="str">
        <x:v>Lukolela</x:v>
      </x:c>
      <x:c r="E37" s="14" t="str">
        <x:v>COD-P06-T06</x:v>
      </x:c>
      <x:c r="F37" s="14" t="str">
        <x:v>4103</x:v>
      </x:c>
      <x:c r="G37" s="14" t="str">
        <x:v>41</x:v>
      </x:c>
      <x:c r="H37" s="14" t="str">
        <x:v>SOURCE_SECONDAIRE_A_VALIDER</x:v>
      </x:c>
      <x:c r="I37" s="14" t="str">
        <x:v>S05</x:v>
      </x:c>
      <x:c r="J37" s="14" t="str">
        <x:v>PCode conservé comme valeur de travail; validation officielle requise.</x:v>
      </x:c>
      <x:c r="K37" s="14" t="str">
        <x:v>2026-09-13</x:v>
      </x:c>
    </x:row>
    <x:row r="38">
      <x:c r="A38" s="14" t="n">
        <x:v>35</x:v>
      </x:c>
      <x:c r="B38" s="14" t="n">
        <x:v>6</x:v>
      </x:c>
      <x:c r="C38" s="14" t="str">
        <x:v>Équateur</x:v>
      </x:c>
      <x:c r="D38" s="14" t="str">
        <x:v>Mankanza</x:v>
      </x:c>
      <x:c r="E38" s="14" t="str">
        <x:v>COD-P06-T07</x:v>
      </x:c>
      <x:c r="F38" s="14" t="str">
        <x:v>4105</x:v>
      </x:c>
      <x:c r="G38" s="14" t="str">
        <x:v>41</x:v>
      </x:c>
      <x:c r="H38" s="14" t="str">
        <x:v>SOURCE_SECONDAIRE_A_VALIDER</x:v>
      </x:c>
      <x:c r="I38" s="14" t="str">
        <x:v>S05</x:v>
      </x:c>
      <x:c r="J38" s="14" t="str">
        <x:v>PCode conservé comme valeur de travail; validation officielle requise.</x:v>
      </x:c>
      <x:c r="K38" s="14" t="str">
        <x:v>2026-09-13</x:v>
      </x:c>
    </x:row>
    <x:row r="39">
      <x:c r="A39" s="14" t="n">
        <x:v>36</x:v>
      </x:c>
      <x:c r="B39" s="14" t="n">
        <x:v>7</x:v>
      </x:c>
      <x:c r="C39" s="14" t="str">
        <x:v>Sud-Ubangi</x:v>
      </x:c>
      <x:c r="D39" s="14" t="str">
        <x:v>Budjala</x:v>
      </x:c>
      <x:c r="E39" s="14" t="str">
        <x:v>COD-P07-T01</x:v>
      </x:c>
      <x:c r="F39" s="14" t="str">
        <x:v>4203</x:v>
      </x:c>
      <x:c r="G39" s="14" t="str">
        <x:v>42</x:v>
      </x:c>
      <x:c r="H39" s="14" t="str">
        <x:v>SOURCE_SECONDAIRE_A_VALIDER</x:v>
      </x:c>
      <x:c r="I39" s="14" t="str">
        <x:v>S05</x:v>
      </x:c>
      <x:c r="J39" s="14" t="str">
        <x:v>PCode conservé comme valeur de travail; validation officielle requise.</x:v>
      </x:c>
      <x:c r="K39" s="14" t="str">
        <x:v>2026-09-13</x:v>
      </x:c>
    </x:row>
    <x:row r="40">
      <x:c r="A40" s="14" t="n">
        <x:v>37</x:v>
      </x:c>
      <x:c r="B40" s="14" t="n">
        <x:v>7</x:v>
      </x:c>
      <x:c r="C40" s="14" t="str">
        <x:v>Sud-Ubangi</x:v>
      </x:c>
      <x:c r="D40" s="14" t="str">
        <x:v>Gemena</x:v>
      </x:c>
      <x:c r="E40" s="14" t="str">
        <x:v>COD-P07-T02</x:v>
      </x:c>
      <x:c r="F40" s="14" t="str">
        <x:v>4202</x:v>
      </x:c>
      <x:c r="G40" s="14" t="str">
        <x:v>42</x:v>
      </x:c>
      <x:c r="H40" s="14" t="str">
        <x:v>SOURCE_SECONDAIRE_A_VALIDER</x:v>
      </x:c>
      <x:c r="I40" s="14" t="str">
        <x:v>S05</x:v>
      </x:c>
      <x:c r="J40" s="14" t="str">
        <x:v>PCode conservé comme valeur de travail; validation officielle requise.</x:v>
      </x:c>
      <x:c r="K40" s="14" t="str">
        <x:v>2026-09-13</x:v>
      </x:c>
    </x:row>
    <x:row r="41">
      <x:c r="A41" s="14" t="n">
        <x:v>38</x:v>
      </x:c>
      <x:c r="B41" s="14" t="n">
        <x:v>7</x:v>
      </x:c>
      <x:c r="C41" s="14" t="str">
        <x:v>Sud-Ubangi</x:v>
      </x:c>
      <x:c r="D41" s="14" t="str">
        <x:v>Kungu</x:v>
      </x:c>
      <x:c r="E41" s="14" t="str">
        <x:v>COD-P07-T03</x:v>
      </x:c>
      <x:c r="F41" s="14" t="str">
        <x:v>4204</x:v>
      </x:c>
      <x:c r="G41" s="14" t="str">
        <x:v>42</x:v>
      </x:c>
      <x:c r="H41" s="14" t="str">
        <x:v>SOURCE_SECONDAIRE_A_VALIDER</x:v>
      </x:c>
      <x:c r="I41" s="14" t="str">
        <x:v>S05</x:v>
      </x:c>
      <x:c r="J41" s="14" t="str">
        <x:v>PCode conservé comme valeur de travail; validation officielle requise.</x:v>
      </x:c>
      <x:c r="K41" s="14" t="str">
        <x:v>2026-09-13</x:v>
      </x:c>
    </x:row>
    <x:row r="42">
      <x:c r="A42" s="14" t="n">
        <x:v>39</x:v>
      </x:c>
      <x:c r="B42" s="14" t="n">
        <x:v>7</x:v>
      </x:c>
      <x:c r="C42" s="14" t="str">
        <x:v>Sud-Ubangi</x:v>
      </x:c>
      <x:c r="D42" s="14" t="str">
        <x:v>Libenge</x:v>
      </x:c>
      <x:c r="E42" s="14" t="str">
        <x:v>COD-P07-T04</x:v>
      </x:c>
      <x:c r="F42" s="14" t="str">
        <x:v>4205</x:v>
      </x:c>
      <x:c r="G42" s="14" t="str">
        <x:v>42</x:v>
      </x:c>
      <x:c r="H42" s="14" t="str">
        <x:v>SOURCE_SECONDAIRE_A_VALIDER</x:v>
      </x:c>
      <x:c r="I42" s="14" t="str">
        <x:v>S05</x:v>
      </x:c>
      <x:c r="J42" s="14" t="str">
        <x:v>PCode conservé comme valeur de travail; validation officielle requise.</x:v>
      </x:c>
      <x:c r="K42" s="14" t="str">
        <x:v>2026-09-13</x:v>
      </x:c>
    </x:row>
    <x:row r="43">
      <x:c r="A43" s="14" t="n">
        <x:v>40</x:v>
      </x:c>
      <x:c r="B43" s="14" t="n">
        <x:v>8</x:v>
      </x:c>
      <x:c r="C43" s="14" t="str">
        <x:v>Nord-Ubangi</x:v>
      </x:c>
      <x:c r="D43" s="14" t="str">
        <x:v>Bosobolo</x:v>
      </x:c>
      <x:c r="E43" s="14" t="str">
        <x:v>COD-P08-T01</x:v>
      </x:c>
      <x:c r="F43" s="14" t="str">
        <x:v>4306</x:v>
      </x:c>
      <x:c r="G43" s="14" t="str">
        <x:v>43</x:v>
      </x:c>
      <x:c r="H43" s="14" t="str">
        <x:v>SOURCE_SECONDAIRE_A_VALIDER</x:v>
      </x:c>
      <x:c r="I43" s="14" t="str">
        <x:v>S05</x:v>
      </x:c>
      <x:c r="J43" s="14" t="str">
        <x:v>PCode conservé comme valeur de travail; validation officielle requise.</x:v>
      </x:c>
      <x:c r="K43" s="14" t="str">
        <x:v>2026-09-13</x:v>
      </x:c>
    </x:row>
    <x:row r="44">
      <x:c r="A44" s="14" t="n">
        <x:v>41</x:v>
      </x:c>
      <x:c r="B44" s="14" t="n">
        <x:v>8</x:v>
      </x:c>
      <x:c r="C44" s="14" t="str">
        <x:v>Nord-Ubangi</x:v>
      </x:c>
      <x:c r="D44" s="14" t="str">
        <x:v>Businga</x:v>
      </x:c>
      <x:c r="E44" s="14" t="str">
        <x:v>COD-P08-T02</x:v>
      </x:c>
      <x:c r="F44" s="14" t="str">
        <x:v>4305</x:v>
      </x:c>
      <x:c r="G44" s="14" t="str">
        <x:v>43</x:v>
      </x:c>
      <x:c r="H44" s="14" t="str">
        <x:v>SOURCE_SECONDAIRE_A_VALIDER</x:v>
      </x:c>
      <x:c r="I44" s="14" t="str">
        <x:v>S05</x:v>
      </x:c>
      <x:c r="J44" s="14" t="str">
        <x:v>PCode conservé comme valeur de travail; validation officielle requise.</x:v>
      </x:c>
      <x:c r="K44" s="14" t="str">
        <x:v>2026-09-13</x:v>
      </x:c>
    </x:row>
    <x:row r="45">
      <x:c r="A45" s="14" t="n">
        <x:v>42</x:v>
      </x:c>
      <x:c r="B45" s="14" t="n">
        <x:v>8</x:v>
      </x:c>
      <x:c r="C45" s="14" t="str">
        <x:v>Nord-Ubangi</x:v>
      </x:c>
      <x:c r="D45" s="14" t="str">
        <x:v>Mobayi-Mbongo</x:v>
      </x:c>
      <x:c r="E45" s="14" t="str">
        <x:v>COD-P08-T03</x:v>
      </x:c>
      <x:c r="F45" s="14" t="str">
        <x:v>4303</x:v>
      </x:c>
      <x:c r="G45" s="14" t="str">
        <x:v>43</x:v>
      </x:c>
      <x:c r="H45" s="14" t="str">
        <x:v>SOURCE_SECONDAIRE_A_VALIDER</x:v>
      </x:c>
      <x:c r="I45" s="14" t="str">
        <x:v>S05</x:v>
      </x:c>
      <x:c r="J45" s="14" t="str">
        <x:v>PCode conservé comme valeur de travail; validation officielle requise.</x:v>
      </x:c>
      <x:c r="K45" s="14" t="str">
        <x:v>2026-09-13</x:v>
      </x:c>
    </x:row>
    <x:row r="46">
      <x:c r="A46" s="14" t="n">
        <x:v>43</x:v>
      </x:c>
      <x:c r="B46" s="14" t="n">
        <x:v>8</x:v>
      </x:c>
      <x:c r="C46" s="14" t="str">
        <x:v>Nord-Ubangi</x:v>
      </x:c>
      <x:c r="D46" s="14" t="str">
        <x:v>Yakoma</x:v>
      </x:c>
      <x:c r="E46" s="14" t="str">
        <x:v>COD-P08-T04</x:v>
      </x:c>
      <x:c r="F46" s="14" t="str">
        <x:v>4304</x:v>
      </x:c>
      <x:c r="G46" s="14" t="str">
        <x:v>43</x:v>
      </x:c>
      <x:c r="H46" s="14" t="str">
        <x:v>SOURCE_SECONDAIRE_A_VALIDER</x:v>
      </x:c>
      <x:c r="I46" s="14" t="str">
        <x:v>S05</x:v>
      </x:c>
      <x:c r="J46" s="14" t="str">
        <x:v>PCode conservé comme valeur de travail; validation officielle requise.</x:v>
      </x:c>
      <x:c r="K46" s="14" t="str">
        <x:v>2026-09-13</x:v>
      </x:c>
    </x:row>
    <x:row r="47">
      <x:c r="A47" s="14" t="n">
        <x:v>44</x:v>
      </x:c>
      <x:c r="B47" s="14" t="n">
        <x:v>9</x:v>
      </x:c>
      <x:c r="C47" s="14" t="str">
        <x:v>Mongala</x:v>
      </x:c>
      <x:c r="D47" s="14" t="str">
        <x:v>Bongandanga</x:v>
      </x:c>
      <x:c r="E47" s="14" t="str">
        <x:v>COD-P09-T01</x:v>
      </x:c>
      <x:c r="F47" s="14" t="str">
        <x:v>4405</x:v>
      </x:c>
      <x:c r="G47" s="14" t="str">
        <x:v>44</x:v>
      </x:c>
      <x:c r="H47" s="14" t="str">
        <x:v>SOURCE_SECONDAIRE_A_VALIDER</x:v>
      </x:c>
      <x:c r="I47" s="14" t="str">
        <x:v>S05</x:v>
      </x:c>
      <x:c r="J47" s="14" t="str">
        <x:v>PCode conservé comme valeur de travail; validation officielle requise.</x:v>
      </x:c>
      <x:c r="K47" s="14" t="str">
        <x:v>2026-09-13</x:v>
      </x:c>
    </x:row>
    <x:row r="48">
      <x:c r="A48" s="14" t="n">
        <x:v>45</x:v>
      </x:c>
      <x:c r="B48" s="14" t="n">
        <x:v>9</x:v>
      </x:c>
      <x:c r="C48" s="14" t="str">
        <x:v>Mongala</x:v>
      </x:c>
      <x:c r="D48" s="14" t="str">
        <x:v>Bumba</x:v>
      </x:c>
      <x:c r="E48" s="14" t="str">
        <x:v>COD-P09-T02</x:v>
      </x:c>
      <x:c r="F48" s="14" t="str">
        <x:v>4404</x:v>
      </x:c>
      <x:c r="G48" s="14" t="str">
        <x:v>44</x:v>
      </x:c>
      <x:c r="H48" s="14" t="str">
        <x:v>SOURCE_SECONDAIRE_A_VALIDER</x:v>
      </x:c>
      <x:c r="I48" s="14" t="str">
        <x:v>S05</x:v>
      </x:c>
      <x:c r="J48" s="14" t="str">
        <x:v>PCode conservé comme valeur de travail; validation officielle requise.</x:v>
      </x:c>
      <x:c r="K48" s="14" t="str">
        <x:v>2026-09-13</x:v>
      </x:c>
    </x:row>
    <x:row r="49">
      <x:c r="A49" s="14" t="n">
        <x:v>46</x:v>
      </x:c>
      <x:c r="B49" s="14" t="n">
        <x:v>9</x:v>
      </x:c>
      <x:c r="C49" s="14" t="str">
        <x:v>Mongala</x:v>
      </x:c>
      <x:c r="D49" s="14" t="str">
        <x:v>Lisala</x:v>
      </x:c>
      <x:c r="E49" s="14" t="str">
        <x:v>COD-P09-T03</x:v>
      </x:c>
      <x:c r="F49" s="14" t="str">
        <x:v>4402</x:v>
      </x:c>
      <x:c r="G49" s="14" t="str">
        <x:v>44</x:v>
      </x:c>
      <x:c r="H49" s="14" t="str">
        <x:v>SOURCE_SECONDAIRE_A_VALIDER</x:v>
      </x:c>
      <x:c r="I49" s="14" t="str">
        <x:v>S05</x:v>
      </x:c>
      <x:c r="J49" s="14" t="str">
        <x:v>PCode conservé comme valeur de travail; validation officielle requise.</x:v>
      </x:c>
      <x:c r="K49" s="14" t="str">
        <x:v>2026-09-13</x:v>
      </x:c>
    </x:row>
    <x:row r="50">
      <x:c r="A50" s="14" t="n">
        <x:v>47</x:v>
      </x:c>
      <x:c r="B50" s="14" t="n">
        <x:v>10</x:v>
      </x:c>
      <x:c r="C50" s="14" t="str">
        <x:v>Tshuapa</x:v>
      </x:c>
      <x:c r="D50" s="14" t="str">
        <x:v>Befale</x:v>
      </x:c>
      <x:c r="E50" s="14" t="str">
        <x:v>COD-P10-T01</x:v>
      </x:c>
      <x:c r="F50" s="14" t="str">
        <x:v>4503</x:v>
      </x:c>
      <x:c r="G50" s="14" t="str">
        <x:v>45</x:v>
      </x:c>
      <x:c r="H50" s="14" t="str">
        <x:v>SOURCE_SECONDAIRE_A_VALIDER</x:v>
      </x:c>
      <x:c r="I50" s="14" t="str">
        <x:v>S05</x:v>
      </x:c>
      <x:c r="J50" s="14" t="str">
        <x:v>PCode conservé comme valeur de travail; validation officielle requise.</x:v>
      </x:c>
      <x:c r="K50" s="14" t="str">
        <x:v>2026-09-13</x:v>
      </x:c>
    </x:row>
    <x:row r="51">
      <x:c r="A51" s="14" t="n">
        <x:v>48</x:v>
      </x:c>
      <x:c r="B51" s="14" t="n">
        <x:v>10</x:v>
      </x:c>
      <x:c r="C51" s="14" t="str">
        <x:v>Tshuapa</x:v>
      </x:c>
      <x:c r="D51" s="14" t="str">
        <x:v>Boende</x:v>
      </x:c>
      <x:c r="E51" s="14" t="str">
        <x:v>COD-P10-T02</x:v>
      </x:c>
      <x:c r="F51" s="14" t="str">
        <x:v>4502</x:v>
      </x:c>
      <x:c r="G51" s="14" t="str">
        <x:v>45</x:v>
      </x:c>
      <x:c r="H51" s="14" t="str">
        <x:v>SOURCE_SECONDAIRE_A_VALIDER</x:v>
      </x:c>
      <x:c r="I51" s="14" t="str">
        <x:v>S05</x:v>
      </x:c>
      <x:c r="J51" s="14" t="str">
        <x:v>PCode conservé comme valeur de travail; validation officielle requise.</x:v>
      </x:c>
      <x:c r="K51" s="14" t="str">
        <x:v>2026-09-13</x:v>
      </x:c>
    </x:row>
    <x:row r="52">
      <x:c r="A52" s="14" t="n">
        <x:v>49</x:v>
      </x:c>
      <x:c r="B52" s="14" t="n">
        <x:v>10</x:v>
      </x:c>
      <x:c r="C52" s="14" t="str">
        <x:v>Tshuapa</x:v>
      </x:c>
      <x:c r="D52" s="14" t="str">
        <x:v>Bokungu</x:v>
      </x:c>
      <x:c r="E52" s="14" t="str">
        <x:v>COD-P10-T03</x:v>
      </x:c>
      <x:c r="F52" s="14" t="str">
        <x:v>4506</x:v>
      </x:c>
      <x:c r="G52" s="14" t="str">
        <x:v>45</x:v>
      </x:c>
      <x:c r="H52" s="14" t="str">
        <x:v>SOURCE_SECONDAIRE_A_VALIDER</x:v>
      </x:c>
      <x:c r="I52" s="14" t="str">
        <x:v>S05</x:v>
      </x:c>
      <x:c r="J52" s="14" t="str">
        <x:v>PCode conservé comme valeur de travail; validation officielle requise.</x:v>
      </x:c>
      <x:c r="K52" s="14" t="str">
        <x:v>2026-09-13</x:v>
      </x:c>
    </x:row>
    <x:row r="53">
      <x:c r="A53" s="14" t="n">
        <x:v>50</x:v>
      </x:c>
      <x:c r="B53" s="14" t="n">
        <x:v>10</x:v>
      </x:c>
      <x:c r="C53" s="14" t="str">
        <x:v>Tshuapa</x:v>
      </x:c>
      <x:c r="D53" s="14" t="str">
        <x:v>Djolu</x:v>
      </x:c>
      <x:c r="E53" s="14" t="str">
        <x:v>COD-P10-T04</x:v>
      </x:c>
      <x:c r="F53" s="14" t="str">
        <x:v>4504</x:v>
      </x:c>
      <x:c r="G53" s="14" t="str">
        <x:v>45</x:v>
      </x:c>
      <x:c r="H53" s="14" t="str">
        <x:v>SOURCE_SECONDAIRE_A_VALIDER</x:v>
      </x:c>
      <x:c r="I53" s="14" t="str">
        <x:v>S05</x:v>
      </x:c>
      <x:c r="J53" s="14" t="str">
        <x:v>PCode conservé comme valeur de travail; validation officielle requise.</x:v>
      </x:c>
      <x:c r="K53" s="14" t="str">
        <x:v>2026-09-13</x:v>
      </x:c>
    </x:row>
    <x:row r="54">
      <x:c r="A54" s="14" t="n">
        <x:v>51</x:v>
      </x:c>
      <x:c r="B54" s="14" t="n">
        <x:v>10</x:v>
      </x:c>
      <x:c r="C54" s="14" t="str">
        <x:v>Tshuapa</x:v>
      </x:c>
      <x:c r="D54" s="14" t="str">
        <x:v>Ikela</x:v>
      </x:c>
      <x:c r="E54" s="14" t="str">
        <x:v>COD-P10-T05</x:v>
      </x:c>
      <x:c r="F54" s="14" t="str">
        <x:v>4505</x:v>
      </x:c>
      <x:c r="G54" s="14" t="str">
        <x:v>45</x:v>
      </x:c>
      <x:c r="H54" s="14" t="str">
        <x:v>SOURCE_SECONDAIRE_A_VALIDER</x:v>
      </x:c>
      <x:c r="I54" s="14" t="str">
        <x:v>S05</x:v>
      </x:c>
      <x:c r="J54" s="14" t="str">
        <x:v>PCode conservé comme valeur de travail; validation officielle requise.</x:v>
      </x:c>
      <x:c r="K54" s="14" t="str">
        <x:v>2026-09-13</x:v>
      </x:c>
    </x:row>
    <x:row r="55">
      <x:c r="A55" s="14" t="n">
        <x:v>52</x:v>
      </x:c>
      <x:c r="B55" s="14" t="n">
        <x:v>10</x:v>
      </x:c>
      <x:c r="C55" s="14" t="str">
        <x:v>Tshuapa</x:v>
      </x:c>
      <x:c r="D55" s="14" t="str">
        <x:v>Monkoto</x:v>
      </x:c>
      <x:c r="E55" s="14" t="str">
        <x:v>COD-P10-T06</x:v>
      </x:c>
      <x:c r="F55" s="14" t="str">
        <x:v>4507</x:v>
      </x:c>
      <x:c r="G55" s="14" t="str">
        <x:v>45</x:v>
      </x:c>
      <x:c r="H55" s="14" t="str">
        <x:v>SOURCE_SECONDAIRE_A_VALIDER</x:v>
      </x:c>
      <x:c r="I55" s="14" t="str">
        <x:v>S05</x:v>
      </x:c>
      <x:c r="J55" s="14" t="str">
        <x:v>PCode conservé comme valeur de travail; validation officielle requise.</x:v>
      </x:c>
      <x:c r="K55" s="14" t="str">
        <x:v>2026-09-13</x:v>
      </x:c>
    </x:row>
    <x:row r="56">
      <x:c r="A56" s="14" t="n">
        <x:v>53</x:v>
      </x:c>
      <x:c r="B56" s="14" t="n">
        <x:v>11</x:v>
      </x:c>
      <x:c r="C56" s="14" t="str">
        <x:v>Tshopo</x:v>
      </x:c>
      <x:c r="D56" s="14" t="str">
        <x:v>Bafwasende</x:v>
      </x:c>
      <x:c r="E56" s="14" t="str">
        <x:v>COD-P11-T01</x:v>
      </x:c>
      <x:c r="F56" s="14" t="str">
        <x:v>5111</x:v>
      </x:c>
      <x:c r="G56" s="14" t="str">
        <x:v>51</x:v>
      </x:c>
      <x:c r="H56" s="14" t="str">
        <x:v>SOURCE_SECONDAIRE_A_VALIDER</x:v>
      </x:c>
      <x:c r="I56" s="14" t="str">
        <x:v>S05</x:v>
      </x:c>
      <x:c r="J56" s="14" t="str">
        <x:v>PCode conservé comme valeur de travail; validation officielle requise.</x:v>
      </x:c>
      <x:c r="K56" s="14" t="str">
        <x:v>2026-09-13</x:v>
      </x:c>
    </x:row>
    <x:row r="57">
      <x:c r="A57" s="14" t="n">
        <x:v>54</x:v>
      </x:c>
      <x:c r="B57" s="14" t="n">
        <x:v>11</x:v>
      </x:c>
      <x:c r="C57" s="14" t="str">
        <x:v>Tshopo</x:v>
      </x:c>
      <x:c r="D57" s="14" t="str">
        <x:v>Banalia</x:v>
      </x:c>
      <x:c r="E57" s="14" t="str">
        <x:v>COD-P11-T02</x:v>
      </x:c>
      <x:c r="F57" s="14" t="str">
        <x:v>5110</x:v>
      </x:c>
      <x:c r="G57" s="14" t="str">
        <x:v>51</x:v>
      </x:c>
      <x:c r="H57" s="14" t="str">
        <x:v>SOURCE_SECONDAIRE_A_VALIDER</x:v>
      </x:c>
      <x:c r="I57" s="14" t="str">
        <x:v>S05</x:v>
      </x:c>
      <x:c r="J57" s="14" t="str">
        <x:v>PCode conservé comme valeur de travail; validation officielle requise.</x:v>
      </x:c>
      <x:c r="K57" s="14" t="str">
        <x:v>2026-09-13</x:v>
      </x:c>
    </x:row>
    <x:row r="58">
      <x:c r="A58" s="14" t="n">
        <x:v>55</x:v>
      </x:c>
      <x:c r="B58" s="14" t="n">
        <x:v>11</x:v>
      </x:c>
      <x:c r="C58" s="14" t="str">
        <x:v>Tshopo</x:v>
      </x:c>
      <x:c r="D58" s="14" t="str">
        <x:v>Basoko</x:v>
      </x:c>
      <x:c r="E58" s="14" t="str">
        <x:v>COD-P11-T03</x:v>
      </x:c>
      <x:c r="F58" s="14" t="str">
        <x:v>5109</x:v>
      </x:c>
      <x:c r="G58" s="14" t="str">
        <x:v>51</x:v>
      </x:c>
      <x:c r="H58" s="14" t="str">
        <x:v>SOURCE_SECONDAIRE_A_VALIDER</x:v>
      </x:c>
      <x:c r="I58" s="14" t="str">
        <x:v>S05</x:v>
      </x:c>
      <x:c r="J58" s="14" t="str">
        <x:v>PCode conservé comme valeur de travail; validation officielle requise.</x:v>
      </x:c>
      <x:c r="K58" s="14" t="str">
        <x:v>2026-09-13</x:v>
      </x:c>
    </x:row>
    <x:row r="59">
      <x:c r="A59" s="14" t="n">
        <x:v>56</x:v>
      </x:c>
      <x:c r="B59" s="14" t="n">
        <x:v>11</x:v>
      </x:c>
      <x:c r="C59" s="14" t="str">
        <x:v>Tshopo</x:v>
      </x:c>
      <x:c r="D59" s="14" t="str">
        <x:v>Isangi</x:v>
      </x:c>
      <x:c r="E59" s="14" t="str">
        <x:v>COD-P11-T04</x:v>
      </x:c>
      <x:c r="F59" s="14" t="str">
        <x:v>5105</x:v>
      </x:c>
      <x:c r="G59" s="14" t="str">
        <x:v>51</x:v>
      </x:c>
      <x:c r="H59" s="14" t="str">
        <x:v>SOURCE_SECONDAIRE_A_VALIDER</x:v>
      </x:c>
      <x:c r="I59" s="14" t="str">
        <x:v>S05</x:v>
      </x:c>
      <x:c r="J59" s="14" t="str">
        <x:v>PCode conservé comme valeur de travail; validation officielle requise.</x:v>
      </x:c>
      <x:c r="K59" s="14" t="str">
        <x:v>2026-09-13</x:v>
      </x:c>
    </x:row>
    <x:row r="60">
      <x:c r="A60" s="14" t="n">
        <x:v>57</x:v>
      </x:c>
      <x:c r="B60" s="14" t="n">
        <x:v>11</x:v>
      </x:c>
      <x:c r="C60" s="14" t="str">
        <x:v>Tshopo</x:v>
      </x:c>
      <x:c r="D60" s="14" t="str">
        <x:v>Opala</x:v>
      </x:c>
      <x:c r="E60" s="14" t="str">
        <x:v>COD-P11-T05</x:v>
      </x:c>
      <x:c r="F60" s="14" t="str">
        <x:v>5103</x:v>
      </x:c>
      <x:c r="G60" s="14" t="str">
        <x:v>51</x:v>
      </x:c>
      <x:c r="H60" s="14" t="str">
        <x:v>SOURCE_SECONDAIRE_A_VALIDER</x:v>
      </x:c>
      <x:c r="I60" s="14" t="str">
        <x:v>S05</x:v>
      </x:c>
      <x:c r="J60" s="14" t="str">
        <x:v>PCode conservé comme valeur de travail; validation officielle requise.</x:v>
      </x:c>
      <x:c r="K60" s="14" t="str">
        <x:v>2026-09-13</x:v>
      </x:c>
    </x:row>
    <x:row r="61">
      <x:c r="A61" s="14" t="n">
        <x:v>58</x:v>
      </x:c>
      <x:c r="B61" s="14" t="n">
        <x:v>11</x:v>
      </x:c>
      <x:c r="C61" s="14" t="str">
        <x:v>Tshopo</x:v>
      </x:c>
      <x:c r="D61" s="14" t="str">
        <x:v>Ubundu</x:v>
      </x:c>
      <x:c r="E61" s="14" t="str">
        <x:v>COD-P11-T06</x:v>
      </x:c>
      <x:c r="F61" s="14" t="str">
        <x:v>5108</x:v>
      </x:c>
      <x:c r="G61" s="14" t="str">
        <x:v>51</x:v>
      </x:c>
      <x:c r="H61" s="14" t="str">
        <x:v>SOURCE_SECONDAIRE_A_VALIDER</x:v>
      </x:c>
      <x:c r="I61" s="14" t="str">
        <x:v>S05</x:v>
      </x:c>
      <x:c r="J61" s="14" t="str">
        <x:v>PCode conservé comme valeur de travail; validation officielle requise.</x:v>
      </x:c>
      <x:c r="K61" s="14" t="str">
        <x:v>2026-09-13</x:v>
      </x:c>
    </x:row>
    <x:row r="62">
      <x:c r="A62" s="14" t="n">
        <x:v>59</x:v>
      </x:c>
      <x:c r="B62" s="14" t="n">
        <x:v>11</x:v>
      </x:c>
      <x:c r="C62" s="14" t="str">
        <x:v>Tshopo</x:v>
      </x:c>
      <x:c r="D62" s="14" t="str">
        <x:v>Yahuma</x:v>
      </x:c>
      <x:c r="E62" s="14" t="str">
        <x:v>COD-P11-T07</x:v>
      </x:c>
      <x:c r="F62" s="14" t="str">
        <x:v>5107</x:v>
      </x:c>
      <x:c r="G62" s="14" t="str">
        <x:v>51</x:v>
      </x:c>
      <x:c r="H62" s="14" t="str">
        <x:v>SOURCE_SECONDAIRE_A_VALIDER</x:v>
      </x:c>
      <x:c r="I62" s="14" t="str">
        <x:v>S05</x:v>
      </x:c>
      <x:c r="J62" s="14" t="str">
        <x:v>PCode conservé comme valeur de travail; validation officielle requise.</x:v>
      </x:c>
      <x:c r="K62" s="14" t="str">
        <x:v>2026-09-13</x:v>
      </x:c>
    </x:row>
    <x:row r="63">
      <x:c r="A63" s="14" t="n">
        <x:v>60</x:v>
      </x:c>
      <x:c r="B63" s="14" t="n">
        <x:v>12</x:v>
      </x:c>
      <x:c r="C63" s="14" t="str">
        <x:v>Bas-Uele</x:v>
      </x:c>
      <x:c r="D63" s="14" t="str">
        <x:v>Aketi</x:v>
      </x:c>
      <x:c r="E63" s="14" t="str">
        <x:v>COD-P12-T01</x:v>
      </x:c>
      <x:c r="F63" s="14" t="str">
        <x:v>5204</x:v>
      </x:c>
      <x:c r="G63" s="14" t="str">
        <x:v>52</x:v>
      </x:c>
      <x:c r="H63" s="14" t="str">
        <x:v>SOURCE_SECONDAIRE_A_VALIDER</x:v>
      </x:c>
      <x:c r="I63" s="14" t="str">
        <x:v>S05</x:v>
      </x:c>
      <x:c r="J63" s="14" t="str">
        <x:v>PCode conservé comme valeur de travail; validation officielle requise.</x:v>
      </x:c>
      <x:c r="K63" s="14" t="str">
        <x:v>2026-09-13</x:v>
      </x:c>
    </x:row>
    <x:row r="64">
      <x:c r="A64" s="14" t="n">
        <x:v>61</x:v>
      </x:c>
      <x:c r="B64" s="14" t="n">
        <x:v>12</x:v>
      </x:c>
      <x:c r="C64" s="14" t="str">
        <x:v>Bas-Uele</x:v>
      </x:c>
      <x:c r="D64" s="14" t="str">
        <x:v>Ango</x:v>
      </x:c>
      <x:c r="E64" s="14" t="str">
        <x:v>COD-P12-T02</x:v>
      </x:c>
      <x:c r="F64" s="14" t="str">
        <x:v>5207</x:v>
      </x:c>
      <x:c r="G64" s="14" t="str">
        <x:v>52</x:v>
      </x:c>
      <x:c r="H64" s="14" t="str">
        <x:v>SOURCE_SECONDAIRE_A_VALIDER</x:v>
      </x:c>
      <x:c r="I64" s="14" t="str">
        <x:v>S05</x:v>
      </x:c>
      <x:c r="J64" s="14" t="str">
        <x:v>PCode conservé comme valeur de travail; validation officielle requise.</x:v>
      </x:c>
      <x:c r="K64" s="14" t="str">
        <x:v>2026-09-13</x:v>
      </x:c>
    </x:row>
    <x:row r="65">
      <x:c r="A65" s="14" t="n">
        <x:v>62</x:v>
      </x:c>
      <x:c r="B65" s="14" t="n">
        <x:v>12</x:v>
      </x:c>
      <x:c r="C65" s="14" t="str">
        <x:v>Bas-Uele</x:v>
      </x:c>
      <x:c r="D65" s="14" t="str">
        <x:v>Bambesa</x:v>
      </x:c>
      <x:c r="E65" s="14" t="str">
        <x:v>COD-P12-T03</x:v>
      </x:c>
      <x:c r="F65" s="14" t="str">
        <x:v>5209</x:v>
      </x:c>
      <x:c r="G65" s="14" t="str">
        <x:v>52</x:v>
      </x:c>
      <x:c r="H65" s="14" t="str">
        <x:v>SOURCE_SECONDAIRE_A_VALIDER</x:v>
      </x:c>
      <x:c r="I65" s="14" t="str">
        <x:v>S05</x:v>
      </x:c>
      <x:c r="J65" s="14" t="str">
        <x:v>PCode conservé comme valeur de travail; validation officielle requise.</x:v>
      </x:c>
      <x:c r="K65" s="14" t="str">
        <x:v>2026-09-13</x:v>
      </x:c>
    </x:row>
    <x:row r="66">
      <x:c r="A66" s="14" t="n">
        <x:v>63</x:v>
      </x:c>
      <x:c r="B66" s="14" t="n">
        <x:v>12</x:v>
      </x:c>
      <x:c r="C66" s="14" t="str">
        <x:v>Bas-Uele</x:v>
      </x:c>
      <x:c r="D66" s="14" t="str">
        <x:v>Bondo</x:v>
      </x:c>
      <x:c r="E66" s="14" t="str">
        <x:v>COD-P12-T04</x:v>
      </x:c>
      <x:c r="F66" s="14" t="str">
        <x:v>5206</x:v>
      </x:c>
      <x:c r="G66" s="14" t="str">
        <x:v>52</x:v>
      </x:c>
      <x:c r="H66" s="14" t="str">
        <x:v>SOURCE_SECONDAIRE_A_VALIDER</x:v>
      </x:c>
      <x:c r="I66" s="14" t="str">
        <x:v>S05</x:v>
      </x:c>
      <x:c r="J66" s="14" t="str">
        <x:v>PCode conservé comme valeur de travail; validation officielle requise.</x:v>
      </x:c>
      <x:c r="K66" s="14" t="str">
        <x:v>2026-09-13</x:v>
      </x:c>
    </x:row>
    <x:row r="67">
      <x:c r="A67" s="14" t="n">
        <x:v>64</x:v>
      </x:c>
      <x:c r="B67" s="14" t="n">
        <x:v>12</x:v>
      </x:c>
      <x:c r="C67" s="14" t="str">
        <x:v>Bas-Uele</x:v>
      </x:c>
      <x:c r="D67" s="14" t="str">
        <x:v>Buta</x:v>
      </x:c>
      <x:c r="E67" s="14" t="str">
        <x:v>COD-P12-T05</x:v>
      </x:c>
      <x:c r="F67" s="14" t="str">
        <x:v>5202</x:v>
      </x:c>
      <x:c r="G67" s="14" t="str">
        <x:v>52</x:v>
      </x:c>
      <x:c r="H67" s="14" t="str">
        <x:v>SOURCE_SECONDAIRE_A_VALIDER</x:v>
      </x:c>
      <x:c r="I67" s="14" t="str">
        <x:v>S05</x:v>
      </x:c>
      <x:c r="J67" s="14" t="str">
        <x:v>PCode conservé comme valeur de travail; validation officielle requise.</x:v>
      </x:c>
      <x:c r="K67" s="14" t="str">
        <x:v>2026-09-13</x:v>
      </x:c>
    </x:row>
    <x:row r="68">
      <x:c r="A68" s="14" t="n">
        <x:v>65</x:v>
      </x:c>
      <x:c r="B68" s="14" t="n">
        <x:v>12</x:v>
      </x:c>
      <x:c r="C68" s="14" t="str">
        <x:v>Bas-Uele</x:v>
      </x:c>
      <x:c r="D68" s="14" t="str">
        <x:v>Poko</x:v>
      </x:c>
      <x:c r="E68" s="14" t="str">
        <x:v>COD-P12-T06</x:v>
      </x:c>
      <x:c r="F68" s="14" t="str">
        <x:v>5208</x:v>
      </x:c>
      <x:c r="G68" s="14" t="str">
        <x:v>52</x:v>
      </x:c>
      <x:c r="H68" s="14" t="str">
        <x:v>SOURCE_SECONDAIRE_A_VALIDER</x:v>
      </x:c>
      <x:c r="I68" s="14" t="str">
        <x:v>S05</x:v>
      </x:c>
      <x:c r="J68" s="14" t="str">
        <x:v>PCode conservé comme valeur de travail; validation officielle requise.</x:v>
      </x:c>
      <x:c r="K68" s="14" t="str">
        <x:v>2026-09-13</x:v>
      </x:c>
    </x:row>
    <x:row r="69">
      <x:c r="A69" s="14" t="n">
        <x:v>66</x:v>
      </x:c>
      <x:c r="B69" s="14" t="n">
        <x:v>13</x:v>
      </x:c>
      <x:c r="C69" s="14" t="str">
        <x:v>Haut-Uele</x:v>
      </x:c>
      <x:c r="D69" s="14" t="str">
        <x:v>Dungu</x:v>
      </x:c>
      <x:c r="E69" s="14" t="str">
        <x:v>COD-P13-T01</x:v>
      </x:c>
      <x:c r="F69" s="14" t="str">
        <x:v>5305</x:v>
      </x:c>
      <x:c r="G69" s="14" t="str">
        <x:v>53</x:v>
      </x:c>
      <x:c r="H69" s="14" t="str">
        <x:v>SOURCE_SECONDAIRE_A_VALIDER</x:v>
      </x:c>
      <x:c r="I69" s="14" t="str">
        <x:v>S05</x:v>
      </x:c>
      <x:c r="J69" s="14" t="str">
        <x:v>PCode conservé comme valeur de travail; validation officielle requise.</x:v>
      </x:c>
      <x:c r="K69" s="14" t="str">
        <x:v>2026-09-13</x:v>
      </x:c>
    </x:row>
    <x:row r="70">
      <x:c r="A70" s="14" t="n">
        <x:v>67</x:v>
      </x:c>
      <x:c r="B70" s="14" t="n">
        <x:v>13</x:v>
      </x:c>
      <x:c r="C70" s="14" t="str">
        <x:v>Haut-Uele</x:v>
      </x:c>
      <x:c r="D70" s="14" t="str">
        <x:v>Faradje</x:v>
      </x:c>
      <x:c r="E70" s="14" t="str">
        <x:v>COD-P13-T02</x:v>
      </x:c>
      <x:c r="F70" s="14" t="str">
        <x:v>5307</x:v>
      </x:c>
      <x:c r="G70" s="14" t="str">
        <x:v>53</x:v>
      </x:c>
      <x:c r="H70" s="14" t="str">
        <x:v>SOURCE_SECONDAIRE_A_VALIDER</x:v>
      </x:c>
      <x:c r="I70" s="14" t="str">
        <x:v>S05</x:v>
      </x:c>
      <x:c r="J70" s="14" t="str">
        <x:v>PCode conservé comme valeur de travail; validation officielle requise.</x:v>
      </x:c>
      <x:c r="K70" s="14" t="str">
        <x:v>2026-09-13</x:v>
      </x:c>
    </x:row>
    <x:row r="71">
      <x:c r="A71" s="14" t="n">
        <x:v>68</x:v>
      </x:c>
      <x:c r="B71" s="14" t="n">
        <x:v>13</x:v>
      </x:c>
      <x:c r="C71" s="14" t="str">
        <x:v>Haut-Uele</x:v>
      </x:c>
      <x:c r="D71" s="14" t="str">
        <x:v>Niangara</x:v>
      </x:c>
      <x:c r="E71" s="14" t="str">
        <x:v>COD-P13-T03</x:v>
      </x:c>
      <x:c r="F71" s="14" t="str">
        <x:v>5303</x:v>
      </x:c>
      <x:c r="G71" s="14" t="str">
        <x:v>53</x:v>
      </x:c>
      <x:c r="H71" s="14" t="str">
        <x:v>SOURCE_SECONDAIRE_A_VALIDER</x:v>
      </x:c>
      <x:c r="I71" s="14" t="str">
        <x:v>S05</x:v>
      </x:c>
      <x:c r="J71" s="14" t="str">
        <x:v>PCode conservé comme valeur de travail; validation officielle requise.</x:v>
      </x:c>
      <x:c r="K71" s="14" t="str">
        <x:v>2026-09-13</x:v>
      </x:c>
    </x:row>
    <x:row r="72">
      <x:c r="A72" s="14" t="n">
        <x:v>69</x:v>
      </x:c>
      <x:c r="B72" s="14" t="n">
        <x:v>13</x:v>
      </x:c>
      <x:c r="C72" s="14" t="str">
        <x:v>Haut-Uele</x:v>
      </x:c>
      <x:c r="D72" s="14" t="str">
        <x:v>Rungu</x:v>
      </x:c>
      <x:c r="E72" s="14" t="str">
        <x:v>COD-P13-T04</x:v>
      </x:c>
      <x:c r="F72" s="14" t="str">
        <x:v>5302</x:v>
      </x:c>
      <x:c r="G72" s="14" t="str">
        <x:v>53</x:v>
      </x:c>
      <x:c r="H72" s="14" t="str">
        <x:v>SOURCE_SECONDAIRE_A_VALIDER</x:v>
      </x:c>
      <x:c r="I72" s="14" t="str">
        <x:v>S05</x:v>
      </x:c>
      <x:c r="J72" s="14" t="str">
        <x:v>PCode conservé comme valeur de travail; validation officielle requise.</x:v>
      </x:c>
      <x:c r="K72" s="14" t="str">
        <x:v>2026-09-13</x:v>
      </x:c>
    </x:row>
    <x:row r="73">
      <x:c r="A73" s="14" t="n">
        <x:v>70</x:v>
      </x:c>
      <x:c r="B73" s="14" t="n">
        <x:v>13</x:v>
      </x:c>
      <x:c r="C73" s="14" t="str">
        <x:v>Haut-Uele</x:v>
      </x:c>
      <x:c r="D73" s="14" t="str">
        <x:v>Wamba</x:v>
      </x:c>
      <x:c r="E73" s="14" t="str">
        <x:v>COD-P13-T05</x:v>
      </x:c>
      <x:c r="F73" s="14" t="str">
        <x:v>5311</x:v>
      </x:c>
      <x:c r="G73" s="14" t="str">
        <x:v>53</x:v>
      </x:c>
      <x:c r="H73" s="14" t="str">
        <x:v>SOURCE_SECONDAIRE_A_VALIDER</x:v>
      </x:c>
      <x:c r="I73" s="14" t="str">
        <x:v>S05</x:v>
      </x:c>
      <x:c r="J73" s="14" t="str">
        <x:v>PCode conservé comme valeur de travail; validation officielle requise.</x:v>
      </x:c>
      <x:c r="K73" s="14" t="str">
        <x:v>2026-09-13</x:v>
      </x:c>
    </x:row>
    <x:row r="74">
      <x:c r="A74" s="14" t="n">
        <x:v>71</x:v>
      </x:c>
      <x:c r="B74" s="14" t="n">
        <x:v>13</x:v>
      </x:c>
      <x:c r="C74" s="14" t="str">
        <x:v>Haut-Uele</x:v>
      </x:c>
      <x:c r="D74" s="14" t="str">
        <x:v>Watsa</x:v>
      </x:c>
      <x:c r="E74" s="14" t="str">
        <x:v>COD-P13-T06</x:v>
      </x:c>
      <x:c r="F74" s="14" t="str">
        <x:v>5309</x:v>
      </x:c>
      <x:c r="G74" s="14" t="str">
        <x:v>53</x:v>
      </x:c>
      <x:c r="H74" s="14" t="str">
        <x:v>SOURCE_SECONDAIRE_A_VALIDER</x:v>
      </x:c>
      <x:c r="I74" s="14" t="str">
        <x:v>S05</x:v>
      </x:c>
      <x:c r="J74" s="14" t="str">
        <x:v>PCode conservé comme valeur de travail; validation officielle requise.</x:v>
      </x:c>
      <x:c r="K74" s="14" t="str">
        <x:v>2026-09-13</x:v>
      </x:c>
    </x:row>
    <x:row r="75">
      <x:c r="A75" s="14" t="n">
        <x:v>72</x:v>
      </x:c>
      <x:c r="B75" s="14" t="n">
        <x:v>14</x:v>
      </x:c>
      <x:c r="C75" s="14" t="str">
        <x:v>Ituri</x:v>
      </x:c>
      <x:c r="D75" s="14" t="str">
        <x:v>Aru</x:v>
      </x:c>
      <x:c r="E75" s="14" t="str">
        <x:v>COD-P14-T01</x:v>
      </x:c>
      <x:c r="F75" s="14" t="str">
        <x:v>5409</x:v>
      </x:c>
      <x:c r="G75" s="14" t="str">
        <x:v>54</x:v>
      </x:c>
      <x:c r="H75" s="14" t="str">
        <x:v>SOURCE_SECONDAIRE_A_VALIDER</x:v>
      </x:c>
      <x:c r="I75" s="14" t="str">
        <x:v>S05</x:v>
      </x:c>
      <x:c r="J75" s="14" t="str">
        <x:v>PCode conservé comme valeur de travail; validation officielle requise.</x:v>
      </x:c>
      <x:c r="K75" s="14" t="str">
        <x:v>2026-09-13</x:v>
      </x:c>
    </x:row>
    <x:row r="76">
      <x:c r="A76" s="14" t="n">
        <x:v>73</x:v>
      </x:c>
      <x:c r="B76" s="14" t="n">
        <x:v>14</x:v>
      </x:c>
      <x:c r="C76" s="14" t="str">
        <x:v>Ituri</x:v>
      </x:c>
      <x:c r="D76" s="14" t="str">
        <x:v>Djugu</x:v>
      </x:c>
      <x:c r="E76" s="14" t="str">
        <x:v>COD-P14-T02</x:v>
      </x:c>
      <x:c r="F76" s="14" t="str">
        <x:v>5405</x:v>
      </x:c>
      <x:c r="G76" s="14" t="str">
        <x:v>54</x:v>
      </x:c>
      <x:c r="H76" s="14" t="str">
        <x:v>SOURCE_SECONDAIRE_A_VALIDER</x:v>
      </x:c>
      <x:c r="I76" s="14" t="str">
        <x:v>S05</x:v>
      </x:c>
      <x:c r="J76" s="14" t="str">
        <x:v>PCode conservé comme valeur de travail; validation officielle requise.</x:v>
      </x:c>
      <x:c r="K76" s="14" t="str">
        <x:v>2026-09-13</x:v>
      </x:c>
    </x:row>
    <x:row r="77">
      <x:c r="A77" s="14" t="n">
        <x:v>74</x:v>
      </x:c>
      <x:c r="B77" s="14" t="n">
        <x:v>14</x:v>
      </x:c>
      <x:c r="C77" s="14" t="str">
        <x:v>Ituri</x:v>
      </x:c>
      <x:c r="D77" s="14" t="str">
        <x:v>Irumu</x:v>
      </x:c>
      <x:c r="E77" s="14" t="str">
        <x:v>COD-P14-T03</x:v>
      </x:c>
      <x:c r="F77" s="14" t="str">
        <x:v>5402</x:v>
      </x:c>
      <x:c r="G77" s="14" t="str">
        <x:v>54</x:v>
      </x:c>
      <x:c r="H77" s="14" t="str">
        <x:v>SOURCE_SECONDAIRE_A_VALIDER</x:v>
      </x:c>
      <x:c r="I77" s="14" t="str">
        <x:v>S05</x:v>
      </x:c>
      <x:c r="J77" s="14" t="str">
        <x:v>PCode conservé comme valeur de travail; validation officielle requise.</x:v>
      </x:c>
      <x:c r="K77" s="14" t="str">
        <x:v>2026-09-13</x:v>
      </x:c>
    </x:row>
    <x:row r="78">
      <x:c r="A78" s="14" t="n">
        <x:v>75</x:v>
      </x:c>
      <x:c r="B78" s="14" t="n">
        <x:v>14</x:v>
      </x:c>
      <x:c r="C78" s="14" t="str">
        <x:v>Ituri</x:v>
      </x:c>
      <x:c r="D78" s="14" t="str">
        <x:v>Mahagi</x:v>
      </x:c>
      <x:c r="E78" s="14" t="str">
        <x:v>COD-P14-T04</x:v>
      </x:c>
      <x:c r="F78" s="14" t="str">
        <x:v>5407</x:v>
      </x:c>
      <x:c r="G78" s="14" t="str">
        <x:v>54</x:v>
      </x:c>
      <x:c r="H78" s="14" t="str">
        <x:v>SOURCE_SECONDAIRE_A_VALIDER</x:v>
      </x:c>
      <x:c r="I78" s="14" t="str">
        <x:v>S05</x:v>
      </x:c>
      <x:c r="J78" s="14" t="str">
        <x:v>PCode conservé comme valeur de travail; validation officielle requise.</x:v>
      </x:c>
      <x:c r="K78" s="14" t="str">
        <x:v>2026-09-13</x:v>
      </x:c>
    </x:row>
    <x:row r="79">
      <x:c r="A79" s="14" t="n">
        <x:v>76</x:v>
      </x:c>
      <x:c r="B79" s="14" t="n">
        <x:v>14</x:v>
      </x:c>
      <x:c r="C79" s="14" t="str">
        <x:v>Ituri</x:v>
      </x:c>
      <x:c r="D79" s="14" t="str">
        <x:v>Mambasa</x:v>
      </x:c>
      <x:c r="E79" s="14" t="str">
        <x:v>COD-P14-T05</x:v>
      </x:c>
      <x:c r="F79" s="14" t="str">
        <x:v>5403</x:v>
      </x:c>
      <x:c r="G79" s="14" t="str">
        <x:v>54</x:v>
      </x:c>
      <x:c r="H79" s="14" t="str">
        <x:v>SOURCE_SECONDAIRE_A_VALIDER</x:v>
      </x:c>
      <x:c r="I79" s="14" t="str">
        <x:v>S05</x:v>
      </x:c>
      <x:c r="J79" s="14" t="str">
        <x:v>PCode conservé comme valeur de travail; validation officielle requise.</x:v>
      </x:c>
      <x:c r="K79" s="14" t="str">
        <x:v>2026-09-13</x:v>
      </x:c>
    </x:row>
    <x:row r="80">
      <x:c r="A80" s="14" t="n">
        <x:v>77</x:v>
      </x:c>
      <x:c r="B80" s="14" t="n">
        <x:v>15</x:v>
      </x:c>
      <x:c r="C80" s="14" t="str">
        <x:v>Nord-Kivu</x:v>
      </x:c>
      <x:c r="D80" s="14" t="str">
        <x:v>Beni</x:v>
      </x:c>
      <x:c r="E80" s="14" t="str">
        <x:v>COD-P15-T01</x:v>
      </x:c>
      <x:c r="F80" s="14" t="str">
        <x:v>6109</x:v>
      </x:c>
      <x:c r="G80" s="14" t="str">
        <x:v>61</x:v>
      </x:c>
      <x:c r="H80" s="14" t="str">
        <x:v>SOURCE_SECONDAIRE_A_VALIDER</x:v>
      </x:c>
      <x:c r="I80" s="14" t="str">
        <x:v>S05</x:v>
      </x:c>
      <x:c r="J80" s="14" t="str">
        <x:v>PCode conservé comme valeur de travail; validation officielle requise.</x:v>
      </x:c>
      <x:c r="K80" s="14" t="str">
        <x:v>2026-09-13</x:v>
      </x:c>
    </x:row>
    <x:row r="81">
      <x:c r="A81" s="14" t="n">
        <x:v>78</x:v>
      </x:c>
      <x:c r="B81" s="14" t="n">
        <x:v>15</x:v>
      </x:c>
      <x:c r="C81" s="14" t="str">
        <x:v>Nord-Kivu</x:v>
      </x:c>
      <x:c r="D81" s="14" t="str">
        <x:v>Lubero</x:v>
      </x:c>
      <x:c r="E81" s="14" t="str">
        <x:v>COD-P15-T02</x:v>
      </x:c>
      <x:c r="F81" s="14" t="str">
        <x:v>6105</x:v>
      </x:c>
      <x:c r="G81" s="14" t="str">
        <x:v>61</x:v>
      </x:c>
      <x:c r="H81" s="14" t="str">
        <x:v>SOURCE_SECONDAIRE_A_VALIDER</x:v>
      </x:c>
      <x:c r="I81" s="14" t="str">
        <x:v>S05</x:v>
      </x:c>
      <x:c r="J81" s="14" t="str">
        <x:v>PCode conservé comme valeur de travail; validation officielle requise.</x:v>
      </x:c>
      <x:c r="K81" s="14" t="str">
        <x:v>2026-09-13</x:v>
      </x:c>
    </x:row>
    <x:row r="82">
      <x:c r="A82" s="14" t="n">
        <x:v>79</x:v>
      </x:c>
      <x:c r="B82" s="14" t="n">
        <x:v>15</x:v>
      </x:c>
      <x:c r="C82" s="14" t="str">
        <x:v>Nord-Kivu</x:v>
      </x:c>
      <x:c r="D82" s="14" t="str">
        <x:v>Masisi</x:v>
      </x:c>
      <x:c r="E82" s="14" t="str">
        <x:v>COD-P15-T03</x:v>
      </x:c>
      <x:c r="F82" s="14" t="str">
        <x:v>6103</x:v>
      </x:c>
      <x:c r="G82" s="14" t="str">
        <x:v>61</x:v>
      </x:c>
      <x:c r="H82" s="14" t="str">
        <x:v>SOURCE_SECONDAIRE_A_VALIDER</x:v>
      </x:c>
      <x:c r="I82" s="14" t="str">
        <x:v>S05</x:v>
      </x:c>
      <x:c r="J82" s="14" t="str">
        <x:v>PCode conservé comme valeur de travail; validation officielle requise.</x:v>
      </x:c>
      <x:c r="K82" s="14" t="str">
        <x:v>2026-09-13</x:v>
      </x:c>
    </x:row>
    <x:row r="83">
      <x:c r="A83" s="14" t="n">
        <x:v>80</x:v>
      </x:c>
      <x:c r="B83" s="14" t="n">
        <x:v>15</x:v>
      </x:c>
      <x:c r="C83" s="14" t="str">
        <x:v>Nord-Kivu</x:v>
      </x:c>
      <x:c r="D83" s="14" t="str">
        <x:v>Nyiragongo</x:v>
      </x:c>
      <x:c r="E83" s="14" t="str">
        <x:v>COD-P15-T04</x:v>
      </x:c>
      <x:c r="F83" s="14" t="str">
        <x:v>6102</x:v>
      </x:c>
      <x:c r="G83" s="14" t="str">
        <x:v>61</x:v>
      </x:c>
      <x:c r="H83" s="14" t="str">
        <x:v>SOURCE_SECONDAIRE_A_VALIDER</x:v>
      </x:c>
      <x:c r="I83" s="14" t="str">
        <x:v>S05</x:v>
      </x:c>
      <x:c r="J83" s="14" t="str">
        <x:v>PCode conservé comme valeur de travail; validation officielle requise.</x:v>
      </x:c>
      <x:c r="K83" s="14" t="str">
        <x:v>2026-09-13</x:v>
      </x:c>
    </x:row>
    <x:row r="84">
      <x:c r="A84" s="14" t="n">
        <x:v>81</x:v>
      </x:c>
      <x:c r="B84" s="14" t="n">
        <x:v>15</x:v>
      </x:c>
      <x:c r="C84" s="14" t="str">
        <x:v>Nord-Kivu</x:v>
      </x:c>
      <x:c r="D84" s="14" t="str">
        <x:v>Rutshuru</x:v>
      </x:c>
      <x:c r="E84" s="14" t="str">
        <x:v>COD-P15-T05</x:v>
      </x:c>
      <x:c r="F84" s="14" t="str">
        <x:v>6112</x:v>
      </x:c>
      <x:c r="G84" s="14" t="str">
        <x:v>61</x:v>
      </x:c>
      <x:c r="H84" s="14" t="str">
        <x:v>SOURCE_SECONDAIRE_A_VALIDER</x:v>
      </x:c>
      <x:c r="I84" s="14" t="str">
        <x:v>S05</x:v>
      </x:c>
      <x:c r="J84" s="14" t="str">
        <x:v>PCode conservé comme valeur de travail; validation officielle requise.</x:v>
      </x:c>
      <x:c r="K84" s="14" t="str">
        <x:v>2026-09-13</x:v>
      </x:c>
    </x:row>
    <x:row r="85">
      <x:c r="A85" s="14" t="n">
        <x:v>82</x:v>
      </x:c>
      <x:c r="B85" s="14" t="n">
        <x:v>15</x:v>
      </x:c>
      <x:c r="C85" s="14" t="str">
        <x:v>Nord-Kivu</x:v>
      </x:c>
      <x:c r="D85" s="14" t="str">
        <x:v>Walikale</x:v>
      </x:c>
      <x:c r="E85" s="14" t="str">
        <x:v>COD-P15-T06</x:v>
      </x:c>
      <x:c r="F85" s="14" t="str">
        <x:v>6104</x:v>
      </x:c>
      <x:c r="G85" s="14" t="str">
        <x:v>61</x:v>
      </x:c>
      <x:c r="H85" s="14" t="str">
        <x:v>SOURCE_SECONDAIRE_A_VALIDER</x:v>
      </x:c>
      <x:c r="I85" s="14" t="str">
        <x:v>S05</x:v>
      </x:c>
      <x:c r="J85" s="14" t="str">
        <x:v>PCode conservé comme valeur de travail; validation officielle requise.</x:v>
      </x:c>
      <x:c r="K85" s="14" t="str">
        <x:v>2026-09-13</x:v>
      </x:c>
    </x:row>
    <x:row r="86">
      <x:c r="A86" s="14" t="n">
        <x:v>83</x:v>
      </x:c>
      <x:c r="B86" s="14" t="n">
        <x:v>16</x:v>
      </x:c>
      <x:c r="C86" s="14" t="str">
        <x:v>Sud-Kivu</x:v>
      </x:c>
      <x:c r="D86" s="14" t="str">
        <x:v>Fizi</x:v>
      </x:c>
      <x:c r="E86" s="14" t="str">
        <x:v>COD-P16-T01</x:v>
      </x:c>
      <x:c r="F86" s="14" t="str">
        <x:v>6210</x:v>
      </x:c>
      <x:c r="G86" s="14" t="str">
        <x:v>62</x:v>
      </x:c>
      <x:c r="H86" s="14" t="str">
        <x:v>SOURCE_SECONDAIRE_A_VALIDER</x:v>
      </x:c>
      <x:c r="I86" s="14" t="str">
        <x:v>S05</x:v>
      </x:c>
      <x:c r="J86" s="14" t="str">
        <x:v>PCode conservé comme valeur de travail; validation officielle requise.</x:v>
      </x:c>
      <x:c r="K86" s="14" t="str">
        <x:v>2026-09-13</x:v>
      </x:c>
    </x:row>
    <x:row r="87">
      <x:c r="A87" s="14" t="n">
        <x:v>84</x:v>
      </x:c>
      <x:c r="B87" s="14" t="n">
        <x:v>16</x:v>
      </x:c>
      <x:c r="C87" s="14" t="str">
        <x:v>Sud-Kivu</x:v>
      </x:c>
      <x:c r="D87" s="14" t="str">
        <x:v>Idjwi</x:v>
      </x:c>
      <x:c r="E87" s="14" t="str">
        <x:v>COD-P16-T02</x:v>
      </x:c>
      <x:c r="F87" s="14" t="str">
        <x:v>6206</x:v>
      </x:c>
      <x:c r="G87" s="14" t="str">
        <x:v>62</x:v>
      </x:c>
      <x:c r="H87" s="14" t="str">
        <x:v>SOURCE_SECONDAIRE_A_VALIDER</x:v>
      </x:c>
      <x:c r="I87" s="14" t="str">
        <x:v>S05</x:v>
      </x:c>
      <x:c r="J87" s="14" t="str">
        <x:v>PCode conservé comme valeur de travail; validation officielle requise.</x:v>
      </x:c>
      <x:c r="K87" s="14" t="str">
        <x:v>2026-09-13</x:v>
      </x:c>
    </x:row>
    <x:row r="88">
      <x:c r="A88" s="14" t="n">
        <x:v>85</x:v>
      </x:c>
      <x:c r="B88" s="14" t="n">
        <x:v>16</x:v>
      </x:c>
      <x:c r="C88" s="14" t="str">
        <x:v>Sud-Kivu</x:v>
      </x:c>
      <x:c r="D88" s="14" t="str">
        <x:v>Kabare</x:v>
      </x:c>
      <x:c r="E88" s="14" t="str">
        <x:v>COD-P16-T03</x:v>
      </x:c>
      <x:c r="F88" s="14" t="str">
        <x:v>6202</x:v>
      </x:c>
      <x:c r="G88" s="14" t="str">
        <x:v>62</x:v>
      </x:c>
      <x:c r="H88" s="14" t="str">
        <x:v>SOURCE_SECONDAIRE_A_VALIDER</x:v>
      </x:c>
      <x:c r="I88" s="14" t="str">
        <x:v>S05</x:v>
      </x:c>
      <x:c r="J88" s="14" t="str">
        <x:v>PCode conservé comme valeur de travail; validation officielle requise.</x:v>
      </x:c>
      <x:c r="K88" s="14" t="str">
        <x:v>2026-09-13</x:v>
      </x:c>
    </x:row>
    <x:row r="89">
      <x:c r="A89" s="14" t="n">
        <x:v>86</x:v>
      </x:c>
      <x:c r="B89" s="14" t="n">
        <x:v>16</x:v>
      </x:c>
      <x:c r="C89" s="14" t="str">
        <x:v>Sud-Kivu</x:v>
      </x:c>
      <x:c r="D89" s="14" t="str">
        <x:v>Kalehe</x:v>
      </x:c>
      <x:c r="E89" s="14" t="str">
        <x:v>COD-P16-T04</x:v>
      </x:c>
      <x:c r="F89" s="14" t="str">
        <x:v>6205</x:v>
      </x:c>
      <x:c r="G89" s="14" t="str">
        <x:v>62</x:v>
      </x:c>
      <x:c r="H89" s="14" t="str">
        <x:v>SOURCE_SECONDAIRE_A_VALIDER</x:v>
      </x:c>
      <x:c r="I89" s="14" t="str">
        <x:v>S05</x:v>
      </x:c>
      <x:c r="J89" s="14" t="str">
        <x:v>PCode conservé comme valeur de travail; validation officielle requise.</x:v>
      </x:c>
      <x:c r="K89" s="14" t="str">
        <x:v>2026-09-13</x:v>
      </x:c>
    </x:row>
    <x:row r="90">
      <x:c r="A90" s="14" t="n">
        <x:v>87</x:v>
      </x:c>
      <x:c r="B90" s="14" t="n">
        <x:v>16</x:v>
      </x:c>
      <x:c r="C90" s="14" t="str">
        <x:v>Sud-Kivu</x:v>
      </x:c>
      <x:c r="D90" s="14" t="str">
        <x:v>Mwenga</x:v>
      </x:c>
      <x:c r="E90" s="14" t="str">
        <x:v>COD-P16-T05</x:v>
      </x:c>
      <x:c r="F90" s="14" t="str">
        <x:v>6212</x:v>
      </x:c>
      <x:c r="G90" s="14" t="str">
        <x:v>62</x:v>
      </x:c>
      <x:c r="H90" s="14" t="str">
        <x:v>SOURCE_SECONDAIRE_A_VALIDER</x:v>
      </x:c>
      <x:c r="I90" s="14" t="str">
        <x:v>S05</x:v>
      </x:c>
      <x:c r="J90" s="14" t="str">
        <x:v>PCode conservé comme valeur de travail; validation officielle requise.</x:v>
      </x:c>
      <x:c r="K90" s="14" t="str">
        <x:v>2026-09-13</x:v>
      </x:c>
    </x:row>
    <x:row r="91">
      <x:c r="A91" s="14" t="n">
        <x:v>88</x:v>
      </x:c>
      <x:c r="B91" s="14" t="n">
        <x:v>16</x:v>
      </x:c>
      <x:c r="C91" s="14" t="str">
        <x:v>Sud-Kivu</x:v>
      </x:c>
      <x:c r="D91" s="14" t="str">
        <x:v>Shabunda</x:v>
      </x:c>
      <x:c r="E91" s="14" t="str">
        <x:v>COD-P16-T06</x:v>
      </x:c>
      <x:c r="F91" s="14" t="str">
        <x:v>6204</x:v>
      </x:c>
      <x:c r="G91" s="14" t="str">
        <x:v>62</x:v>
      </x:c>
      <x:c r="H91" s="14" t="str">
        <x:v>SOURCE_SECONDAIRE_A_VALIDER</x:v>
      </x:c>
      <x:c r="I91" s="14" t="str">
        <x:v>S05</x:v>
      </x:c>
      <x:c r="J91" s="14" t="str">
        <x:v>PCode conservé comme valeur de travail; validation officielle requise.</x:v>
      </x:c>
      <x:c r="K91" s="14" t="str">
        <x:v>2026-09-13</x:v>
      </x:c>
    </x:row>
    <x:row r="92">
      <x:c r="A92" s="14" t="n">
        <x:v>89</x:v>
      </x:c>
      <x:c r="B92" s="14" t="n">
        <x:v>16</x:v>
      </x:c>
      <x:c r="C92" s="14" t="str">
        <x:v>Sud-Kivu</x:v>
      </x:c>
      <x:c r="D92" s="14" t="str">
        <x:v>Uvira</x:v>
      </x:c>
      <x:c r="E92" s="14" t="str">
        <x:v>COD-P16-T07</x:v>
      </x:c>
      <x:c r="F92" s="14" t="str">
        <x:v>6209</x:v>
      </x:c>
      <x:c r="G92" s="14" t="str">
        <x:v>62</x:v>
      </x:c>
      <x:c r="H92" s="14" t="str">
        <x:v>SOURCE_SECONDAIRE_A_VALIDER</x:v>
      </x:c>
      <x:c r="I92" s="14" t="str">
        <x:v>S05</x:v>
      </x:c>
      <x:c r="J92" s="14" t="str">
        <x:v>PCode conservé comme valeur de travail; validation officielle requise.</x:v>
      </x:c>
      <x:c r="K92" s="14" t="str">
        <x:v>2026-09-13</x:v>
      </x:c>
    </x:row>
    <x:row r="93">
      <x:c r="A93" s="14" t="n">
        <x:v>90</x:v>
      </x:c>
      <x:c r="B93" s="14" t="n">
        <x:v>16</x:v>
      </x:c>
      <x:c r="C93" s="14" t="str">
        <x:v>Sud-Kivu</x:v>
      </x:c>
      <x:c r="D93" s="14" t="str">
        <x:v>Walungu</x:v>
      </x:c>
      <x:c r="E93" s="14" t="str">
        <x:v>COD-P16-T08</x:v>
      </x:c>
      <x:c r="F93" s="14" t="str">
        <x:v>6207</x:v>
      </x:c>
      <x:c r="G93" s="14" t="str">
        <x:v>62</x:v>
      </x:c>
      <x:c r="H93" s="14" t="str">
        <x:v>SOURCE_SECONDAIRE_A_VALIDER</x:v>
      </x:c>
      <x:c r="I93" s="14" t="str">
        <x:v>S05</x:v>
      </x:c>
      <x:c r="J93" s="14" t="str">
        <x:v>PCode conservé comme valeur de travail; validation officielle requise.</x:v>
      </x:c>
      <x:c r="K93" s="14" t="str">
        <x:v>2026-09-13</x:v>
      </x:c>
    </x:row>
    <x:row r="94">
      <x:c r="A94" s="14" t="n">
        <x:v>91</x:v>
      </x:c>
      <x:c r="B94" s="14" t="n">
        <x:v>17</x:v>
      </x:c>
      <x:c r="C94" s="14" t="str">
        <x:v>Maniema</x:v>
      </x:c>
      <x:c r="D94" s="14" t="str">
        <x:v>Kabambare</x:v>
      </x:c>
      <x:c r="E94" s="14" t="str">
        <x:v>COD-P17-T01</x:v>
      </x:c>
      <x:c r="F94" s="14" t="str">
        <x:v>6309</x:v>
      </x:c>
      <x:c r="G94" s="14" t="str">
        <x:v>63</x:v>
      </x:c>
      <x:c r="H94" s="14" t="str">
        <x:v>SOURCE_SECONDAIRE_A_VALIDER</x:v>
      </x:c>
      <x:c r="I94" s="14" t="str">
        <x:v>S05</x:v>
      </x:c>
      <x:c r="J94" s="14" t="str">
        <x:v>PCode conservé comme valeur de travail; validation officielle requise.</x:v>
      </x:c>
      <x:c r="K94" s="14" t="str">
        <x:v>2026-09-13</x:v>
      </x:c>
    </x:row>
    <x:row r="95">
      <x:c r="A95" s="14" t="n">
        <x:v>92</x:v>
      </x:c>
      <x:c r="B95" s="14" t="n">
        <x:v>17</x:v>
      </x:c>
      <x:c r="C95" s="14" t="str">
        <x:v>Maniema</x:v>
      </x:c>
      <x:c r="D95" s="14" t="str">
        <x:v>Kailo</x:v>
      </x:c>
      <x:c r="E95" s="14" t="str">
        <x:v>COD-P17-T02</x:v>
      </x:c>
      <x:c r="F95" s="14" t="str">
        <x:v>6302</x:v>
      </x:c>
      <x:c r="G95" s="14" t="str">
        <x:v>63</x:v>
      </x:c>
      <x:c r="H95" s="14" t="str">
        <x:v>SOURCE_SECONDAIRE_A_VALIDER</x:v>
      </x:c>
      <x:c r="I95" s="14" t="str">
        <x:v>S05</x:v>
      </x:c>
      <x:c r="J95" s="14" t="str">
        <x:v>PCode conservé comme valeur de travail; validation officielle requise.</x:v>
      </x:c>
      <x:c r="K95" s="14" t="str">
        <x:v>2026-09-13</x:v>
      </x:c>
    </x:row>
    <x:row r="96">
      <x:c r="A96" s="14" t="n">
        <x:v>93</x:v>
      </x:c>
      <x:c r="B96" s="14" t="n">
        <x:v>17</x:v>
      </x:c>
      <x:c r="C96" s="14" t="str">
        <x:v>Maniema</x:v>
      </x:c>
      <x:c r="D96" s="14" t="str">
        <x:v>Kasongo</x:v>
      </x:c>
      <x:c r="E96" s="14" t="str">
        <x:v>COD-P17-T03</x:v>
      </x:c>
      <x:c r="F96" s="14" t="str">
        <x:v>6312</x:v>
      </x:c>
      <x:c r="G96" s="14" t="str">
        <x:v>63</x:v>
      </x:c>
      <x:c r="H96" s="14" t="str">
        <x:v>SOURCE_SECONDAIRE_A_VALIDER</x:v>
      </x:c>
      <x:c r="I96" s="14" t="str">
        <x:v>S05</x:v>
      </x:c>
      <x:c r="J96" s="14" t="str">
        <x:v>PCode conservé comme valeur de travail; validation officielle requise.</x:v>
      </x:c>
      <x:c r="K96" s="14" t="str">
        <x:v>2026-09-13</x:v>
      </x:c>
    </x:row>
    <x:row r="97">
      <x:c r="A97" s="14" t="n">
        <x:v>94</x:v>
      </x:c>
      <x:c r="B97" s="14" t="n">
        <x:v>17</x:v>
      </x:c>
      <x:c r="C97" s="14" t="str">
        <x:v>Maniema</x:v>
      </x:c>
      <x:c r="D97" s="14" t="str">
        <x:v>Kibombo</x:v>
      </x:c>
      <x:c r="E97" s="14" t="str">
        <x:v>COD-P17-T04</x:v>
      </x:c>
      <x:c r="F97" s="14" t="str">
        <x:v>6313</x:v>
      </x:c>
      <x:c r="G97" s="14" t="str">
        <x:v>63</x:v>
      </x:c>
      <x:c r="H97" s="14" t="str">
        <x:v>SOURCE_SECONDAIRE_A_VALIDER</x:v>
      </x:c>
      <x:c r="I97" s="14" t="str">
        <x:v>S05</x:v>
      </x:c>
      <x:c r="J97" s="14" t="str">
        <x:v>PCode conservé comme valeur de travail; validation officielle requise.</x:v>
      </x:c>
      <x:c r="K97" s="14" t="str">
        <x:v>2026-09-13</x:v>
      </x:c>
    </x:row>
    <x:row r="98">
      <x:c r="A98" s="14" t="n">
        <x:v>95</x:v>
      </x:c>
      <x:c r="B98" s="14" t="n">
        <x:v>17</x:v>
      </x:c>
      <x:c r="C98" s="14" t="str">
        <x:v>Maniema</x:v>
      </x:c>
      <x:c r="D98" s="14" t="str">
        <x:v>Lubutu</x:v>
      </x:c>
      <x:c r="E98" s="14" t="str">
        <x:v>COD-P17-T05</x:v>
      </x:c>
      <x:c r="F98" s="14" t="str">
        <x:v>6306</x:v>
      </x:c>
      <x:c r="G98" s="14" t="str">
        <x:v>63</x:v>
      </x:c>
      <x:c r="H98" s="14" t="str">
        <x:v>SOURCE_SECONDAIRE_A_VALIDER</x:v>
      </x:c>
      <x:c r="I98" s="14" t="str">
        <x:v>S05</x:v>
      </x:c>
      <x:c r="J98" s="14" t="str">
        <x:v>PCode conservé comme valeur de travail; validation officielle requise.</x:v>
      </x:c>
      <x:c r="K98" s="14" t="str">
        <x:v>2026-09-13</x:v>
      </x:c>
    </x:row>
    <x:row r="99">
      <x:c r="A99" s="14" t="n">
        <x:v>96</x:v>
      </x:c>
      <x:c r="B99" s="14" t="n">
        <x:v>17</x:v>
      </x:c>
      <x:c r="C99" s="14" t="str">
        <x:v>Maniema</x:v>
      </x:c>
      <x:c r="D99" s="14" t="str">
        <x:v>Pangi</x:v>
      </x:c>
      <x:c r="E99" s="14" t="str">
        <x:v>COD-P17-T06</x:v>
      </x:c>
      <x:c r="F99" s="14" t="str">
        <x:v>6307</x:v>
      </x:c>
      <x:c r="G99" s="14" t="str">
        <x:v>63</x:v>
      </x:c>
      <x:c r="H99" s="14" t="str">
        <x:v>SOURCE_SECONDAIRE_A_VALIDER</x:v>
      </x:c>
      <x:c r="I99" s="14" t="str">
        <x:v>S05</x:v>
      </x:c>
      <x:c r="J99" s="14" t="str">
        <x:v>PCode conservé comme valeur de travail; validation officielle requise.</x:v>
      </x:c>
      <x:c r="K99" s="14" t="str">
        <x:v>2026-09-13</x:v>
      </x:c>
    </x:row>
    <x:row r="100">
      <x:c r="A100" s="14" t="n">
        <x:v>97</x:v>
      </x:c>
      <x:c r="B100" s="14" t="n">
        <x:v>17</x:v>
      </x:c>
      <x:c r="C100" s="14" t="str">
        <x:v>Maniema</x:v>
      </x:c>
      <x:c r="D100" s="14" t="str">
        <x:v>Punia</x:v>
      </x:c>
      <x:c r="E100" s="14" t="str">
        <x:v>COD-P17-T07</x:v>
      </x:c>
      <x:c r="F100" s="14" t="str">
        <x:v>6304</x:v>
      </x:c>
      <x:c r="G100" s="14" t="str">
        <x:v>63</x:v>
      </x:c>
      <x:c r="H100" s="14" t="str">
        <x:v>SOURCE_SECONDAIRE_A_VALIDER</x:v>
      </x:c>
      <x:c r="I100" s="14" t="str">
        <x:v>S05</x:v>
      </x:c>
      <x:c r="J100" s="14" t="str">
        <x:v>PCode conservé comme valeur de travail; validation officielle requise.</x:v>
      </x:c>
      <x:c r="K100" s="14" t="str">
        <x:v>2026-09-13</x:v>
      </x:c>
    </x:row>
    <x:row r="101">
      <x:c r="A101" s="14" t="n">
        <x:v>98</x:v>
      </x:c>
      <x:c r="B101" s="14" t="n">
        <x:v>18</x:v>
      </x:c>
      <x:c r="C101" s="14" t="str">
        <x:v>Haut-Katanga</x:v>
      </x:c>
      <x:c r="D101" s="14" t="str">
        <x:v>Kambove</x:v>
      </x:c>
      <x:c r="E101" s="14" t="str">
        <x:v>COD-P18-T01</x:v>
      </x:c>
      <x:c r="F101" s="14" t="str">
        <x:v>7105</x:v>
      </x:c>
      <x:c r="G101" s="14" t="str">
        <x:v>71</x:v>
      </x:c>
      <x:c r="H101" s="14" t="str">
        <x:v>SOURCE_SECONDAIRE_A_VALIDER</x:v>
      </x:c>
      <x:c r="I101" s="14" t="str">
        <x:v>S05</x:v>
      </x:c>
      <x:c r="J101" s="14" t="str">
        <x:v>PCode conservé comme valeur de travail; validation officielle requise.</x:v>
      </x:c>
      <x:c r="K101" s="14" t="str">
        <x:v>2026-09-13</x:v>
      </x:c>
    </x:row>
    <x:row r="102">
      <x:c r="A102" s="14" t="n">
        <x:v>99</x:v>
      </x:c>
      <x:c r="B102" s="14" t="n">
        <x:v>18</x:v>
      </x:c>
      <x:c r="C102" s="14" t="str">
        <x:v>Haut-Katanga</x:v>
      </x:c>
      <x:c r="D102" s="14" t="str">
        <x:v>Kasenga</x:v>
      </x:c>
      <x:c r="E102" s="14" t="str">
        <x:v>COD-P18-T02</x:v>
      </x:c>
      <x:c r="F102" s="14" t="str">
        <x:v>7107</x:v>
      </x:c>
      <x:c r="G102" s="14" t="str">
        <x:v>71</x:v>
      </x:c>
      <x:c r="H102" s="14" t="str">
        <x:v>SOURCE_SECONDAIRE_A_VALIDER</x:v>
      </x:c>
      <x:c r="I102" s="14" t="str">
        <x:v>S05</x:v>
      </x:c>
      <x:c r="J102" s="14" t="str">
        <x:v>PCode conservé comme valeur de travail; validation officielle requise.</x:v>
      </x:c>
      <x:c r="K102" s="14" t="str">
        <x:v>2026-09-13</x:v>
      </x:c>
    </x:row>
    <x:row r="103">
      <x:c r="A103" s="14" t="n">
        <x:v>100</x:v>
      </x:c>
      <x:c r="B103" s="14" t="n">
        <x:v>18</x:v>
      </x:c>
      <x:c r="C103" s="14" t="str">
        <x:v>Haut-Katanga</x:v>
      </x:c>
      <x:c r="D103" s="14" t="str">
        <x:v>Kipushi</x:v>
      </x:c>
      <x:c r="E103" s="14" t="str">
        <x:v>COD-P18-T03</x:v>
      </x:c>
      <x:c r="F103" s="14" t="str">
        <x:v>7103</x:v>
      </x:c>
      <x:c r="G103" s="14" t="str">
        <x:v>71</x:v>
      </x:c>
      <x:c r="H103" s="14" t="str">
        <x:v>SOURCE_SECONDAIRE_A_VALIDER</x:v>
      </x:c>
      <x:c r="I103" s="14" t="str">
        <x:v>S05</x:v>
      </x:c>
      <x:c r="J103" s="14" t="str">
        <x:v>PCode conservé comme valeur de travail; validation officielle requise.</x:v>
      </x:c>
      <x:c r="K103" s="14" t="str">
        <x:v>2026-09-13</x:v>
      </x:c>
    </x:row>
    <x:row r="104">
      <x:c r="A104" s="14" t="n">
        <x:v>101</x:v>
      </x:c>
      <x:c r="B104" s="14" t="n">
        <x:v>18</x:v>
      </x:c>
      <x:c r="C104" s="14" t="str">
        <x:v>Haut-Katanga</x:v>
      </x:c>
      <x:c r="D104" s="14" t="str">
        <x:v>Mitwaba</x:v>
      </x:c>
      <x:c r="E104" s="14" t="str">
        <x:v>COD-P18-T04</x:v>
      </x:c>
      <x:c r="F104" s="14" t="str">
        <x:v>7108</x:v>
      </x:c>
      <x:c r="G104" s="14" t="str">
        <x:v>71</x:v>
      </x:c>
      <x:c r="H104" s="14" t="str">
        <x:v>SOURCE_SECONDAIRE_A_VALIDER</x:v>
      </x:c>
      <x:c r="I104" s="14" t="str">
        <x:v>S05</x:v>
      </x:c>
      <x:c r="J104" s="14" t="str">
        <x:v>PCode conservé comme valeur de travail; validation officielle requise.</x:v>
      </x:c>
      <x:c r="K104" s="14" t="str">
        <x:v>2026-09-13</x:v>
      </x:c>
    </x:row>
    <x:row r="105">
      <x:c r="A105" s="14" t="n">
        <x:v>102</x:v>
      </x:c>
      <x:c r="B105" s="14" t="n">
        <x:v>18</x:v>
      </x:c>
      <x:c r="C105" s="14" t="str">
        <x:v>Haut-Katanga</x:v>
      </x:c>
      <x:c r="D105" s="14" t="str">
        <x:v>Pweto</x:v>
      </x:c>
      <x:c r="E105" s="14" t="str">
        <x:v>COD-P18-T05</x:v>
      </x:c>
      <x:c r="F105" s="14" t="str">
        <x:v>7109</x:v>
      </x:c>
      <x:c r="G105" s="14" t="str">
        <x:v>71</x:v>
      </x:c>
      <x:c r="H105" s="14" t="str">
        <x:v>SOURCE_SECONDAIRE_A_VALIDER</x:v>
      </x:c>
      <x:c r="I105" s="14" t="str">
        <x:v>S05</x:v>
      </x:c>
      <x:c r="J105" s="14" t="str">
        <x:v>PCode conservé comme valeur de travail; validation officielle requise.</x:v>
      </x:c>
      <x:c r="K105" s="14" t="str">
        <x:v>2026-09-13</x:v>
      </x:c>
    </x:row>
    <x:row r="106">
      <x:c r="A106" s="14" t="n">
        <x:v>103</x:v>
      </x:c>
      <x:c r="B106" s="14" t="n">
        <x:v>18</x:v>
      </x:c>
      <x:c r="C106" s="14" t="str">
        <x:v>Haut-Katanga</x:v>
      </x:c>
      <x:c r="D106" s="14" t="str">
        <x:v>Sakania</x:v>
      </x:c>
      <x:c r="E106" s="14" t="str">
        <x:v>COD-P18-T06</x:v>
      </x:c>
      <x:c r="F106" s="14" t="str">
        <x:v>7104</x:v>
      </x:c>
      <x:c r="G106" s="14" t="str">
        <x:v>71</x:v>
      </x:c>
      <x:c r="H106" s="14" t="str">
        <x:v>SOURCE_SECONDAIRE_A_VALIDER</x:v>
      </x:c>
      <x:c r="I106" s="14" t="str">
        <x:v>S05</x:v>
      </x:c>
      <x:c r="J106" s="14" t="str">
        <x:v>PCode conservé comme valeur de travail; validation officielle requise.</x:v>
      </x:c>
      <x:c r="K106" s="14" t="str">
        <x:v>2026-09-13</x:v>
      </x:c>
    </x:row>
    <x:row r="107">
      <x:c r="A107" s="14" t="n">
        <x:v>104</x:v>
      </x:c>
      <x:c r="B107" s="14" t="n">
        <x:v>19</x:v>
      </x:c>
      <x:c r="C107" s="14" t="str">
        <x:v>Lualaba</x:v>
      </x:c>
      <x:c r="D107" s="14" t="str">
        <x:v>Dilolo</x:v>
      </x:c>
      <x:c r="E107" s="14" t="str">
        <x:v>COD-P19-T01</x:v>
      </x:c>
      <x:c r="F107" s="14" t="str">
        <x:v>7205</x:v>
      </x:c>
      <x:c r="G107" s="14" t="str">
        <x:v>72</x:v>
      </x:c>
      <x:c r="H107" s="14" t="str">
        <x:v>SOURCE_SECONDAIRE_A_VALIDER</x:v>
      </x:c>
      <x:c r="I107" s="14" t="str">
        <x:v>S05</x:v>
      </x:c>
      <x:c r="J107" s="14" t="str">
        <x:v>PCode conservé comme valeur de travail; validation officielle requise.</x:v>
      </x:c>
      <x:c r="K107" s="14" t="str">
        <x:v>2026-09-13</x:v>
      </x:c>
    </x:row>
    <x:row r="108">
      <x:c r="A108" s="14" t="n">
        <x:v>105</x:v>
      </x:c>
      <x:c r="B108" s="14" t="n">
        <x:v>19</x:v>
      </x:c>
      <x:c r="C108" s="14" t="str">
        <x:v>Lualaba</x:v>
      </x:c>
      <x:c r="D108" s="14" t="str">
        <x:v>Kapanga</x:v>
      </x:c>
      <x:c r="E108" s="14" t="str">
        <x:v>COD-P19-T02</x:v>
      </x:c>
      <x:c r="F108" s="14" t="str">
        <x:v>7207</x:v>
      </x:c>
      <x:c r="G108" s="14" t="str">
        <x:v>72</x:v>
      </x:c>
      <x:c r="H108" s="14" t="str">
        <x:v>SOURCE_SECONDAIRE_A_VALIDER</x:v>
      </x:c>
      <x:c r="I108" s="14" t="str">
        <x:v>S05</x:v>
      </x:c>
      <x:c r="J108" s="14" t="str">
        <x:v>PCode conservé comme valeur de travail; validation officielle requise.</x:v>
      </x:c>
      <x:c r="K108" s="14" t="str">
        <x:v>2026-09-13</x:v>
      </x:c>
    </x:row>
    <x:row r="109">
      <x:c r="A109" s="14" t="n">
        <x:v>106</x:v>
      </x:c>
      <x:c r="B109" s="14" t="n">
        <x:v>19</x:v>
      </x:c>
      <x:c r="C109" s="14" t="str">
        <x:v>Lualaba</x:v>
      </x:c>
      <x:c r="D109" s="14" t="str">
        <x:v>Lubudi</x:v>
      </x:c>
      <x:c r="E109" s="14" t="str">
        <x:v>COD-P19-T03</x:v>
      </x:c>
      <x:c r="F109" s="14" t="str">
        <x:v>7203</x:v>
      </x:c>
      <x:c r="G109" s="14" t="str">
        <x:v>72</x:v>
      </x:c>
      <x:c r="H109" s="14" t="str">
        <x:v>SOURCE_SECONDAIRE_A_VALIDER</x:v>
      </x:c>
      <x:c r="I109" s="14" t="str">
        <x:v>S05</x:v>
      </x:c>
      <x:c r="J109" s="14" t="str">
        <x:v>PCode conservé comme valeur de travail; validation officielle requise.</x:v>
      </x:c>
      <x:c r="K109" s="14" t="str">
        <x:v>2026-09-13</x:v>
      </x:c>
    </x:row>
    <x:row r="110">
      <x:c r="A110" s="14" t="n">
        <x:v>107</x:v>
      </x:c>
      <x:c r="B110" s="14" t="n">
        <x:v>19</x:v>
      </x:c>
      <x:c r="C110" s="14" t="str">
        <x:v>Lualaba</x:v>
      </x:c>
      <x:c r="D110" s="14" t="str">
        <x:v>Mutshatsha</x:v>
      </x:c>
      <x:c r="E110" s="14" t="str">
        <x:v>COD-P19-T04</x:v>
      </x:c>
      <x:c r="F110" s="14" t="str">
        <x:v>7202</x:v>
      </x:c>
      <x:c r="G110" s="14" t="str">
        <x:v>72</x:v>
      </x:c>
      <x:c r="H110" s="14" t="str">
        <x:v>SOURCE_SECONDAIRE_A_VALIDER</x:v>
      </x:c>
      <x:c r="I110" s="14" t="str">
        <x:v>S05</x:v>
      </x:c>
      <x:c r="J110" s="14" t="str">
        <x:v>PCode conservé comme valeur de travail; validation officielle requise.</x:v>
      </x:c>
      <x:c r="K110" s="14" t="str">
        <x:v>2026-09-13</x:v>
      </x:c>
    </x:row>
    <x:row r="111">
      <x:c r="A111" s="14" t="n">
        <x:v>108</x:v>
      </x:c>
      <x:c r="B111" s="14" t="n">
        <x:v>19</x:v>
      </x:c>
      <x:c r="C111" s="14" t="str">
        <x:v>Lualaba</x:v>
      </x:c>
      <x:c r="D111" s="14" t="str">
        <x:v>Sandoa</x:v>
      </x:c>
      <x:c r="E111" s="14" t="str">
        <x:v>COD-P19-T05</x:v>
      </x:c>
      <x:c r="F111" s="14" t="str">
        <x:v>7206</x:v>
      </x:c>
      <x:c r="G111" s="14" t="str">
        <x:v>72</x:v>
      </x:c>
      <x:c r="H111" s="14" t="str">
        <x:v>SOURCE_SECONDAIRE_A_VALIDER</x:v>
      </x:c>
      <x:c r="I111" s="14" t="str">
        <x:v>S05</x:v>
      </x:c>
      <x:c r="J111" s="14" t="str">
        <x:v>PCode conservé comme valeur de travail; validation officielle requise.</x:v>
      </x:c>
      <x:c r="K111" s="14" t="str">
        <x:v>2026-09-13</x:v>
      </x:c>
    </x:row>
    <x:row r="112">
      <x:c r="A112" s="14" t="n">
        <x:v>109</x:v>
      </x:c>
      <x:c r="B112" s="14" t="n">
        <x:v>20</x:v>
      </x:c>
      <x:c r="C112" s="14" t="str">
        <x:v>Haut-Lomami</x:v>
      </x:c>
      <x:c r="D112" s="14" t="str">
        <x:v>Bukama</x:v>
      </x:c>
      <x:c r="E112" s="14" t="str">
        <x:v>COD-P20-T01</x:v>
      </x:c>
      <x:c r="F112" s="14" t="str">
        <x:v>7306</x:v>
      </x:c>
      <x:c r="G112" s="14" t="str">
        <x:v>73</x:v>
      </x:c>
      <x:c r="H112" s="14" t="str">
        <x:v>SOURCE_SECONDAIRE_A_VALIDER</x:v>
      </x:c>
      <x:c r="I112" s="14" t="str">
        <x:v>S05</x:v>
      </x:c>
      <x:c r="J112" s="14" t="str">
        <x:v>PCode conservé comme valeur de travail; validation officielle requise.</x:v>
      </x:c>
      <x:c r="K112" s="14" t="str">
        <x:v>2026-09-13</x:v>
      </x:c>
    </x:row>
    <x:row r="113">
      <x:c r="A113" s="14" t="n">
        <x:v>110</x:v>
      </x:c>
      <x:c r="B113" s="14" t="n">
        <x:v>20</x:v>
      </x:c>
      <x:c r="C113" s="14" t="str">
        <x:v>Haut-Lomami</x:v>
      </x:c>
      <x:c r="D113" s="14" t="str">
        <x:v>Kabongo</x:v>
      </x:c>
      <x:c r="E113" s="14" t="str">
        <x:v>COD-P20-T02</x:v>
      </x:c>
      <x:c r="F113" s="14" t="str">
        <x:v>7304</x:v>
      </x:c>
      <x:c r="G113" s="14" t="str">
        <x:v>73</x:v>
      </x:c>
      <x:c r="H113" s="14" t="str">
        <x:v>SOURCE_SECONDAIRE_A_VALIDER</x:v>
      </x:c>
      <x:c r="I113" s="14" t="str">
        <x:v>S05</x:v>
      </x:c>
      <x:c r="J113" s="14" t="str">
        <x:v>PCode conservé comme valeur de travail; validation officielle requise.</x:v>
      </x:c>
      <x:c r="K113" s="14" t="str">
        <x:v>2026-09-13</x:v>
      </x:c>
    </x:row>
    <x:row r="114">
      <x:c r="A114" s="14" t="n">
        <x:v>111</x:v>
      </x:c>
      <x:c r="B114" s="14" t="n">
        <x:v>20</x:v>
      </x:c>
      <x:c r="C114" s="14" t="str">
        <x:v>Haut-Lomami</x:v>
      </x:c>
      <x:c r="D114" s="14" t="str">
        <x:v>Kamina</x:v>
      </x:c>
      <x:c r="E114" s="14" t="str">
        <x:v>COD-P20-T03</x:v>
      </x:c>
      <x:c r="F114" s="14" t="str">
        <x:v>7302</x:v>
      </x:c>
      <x:c r="G114" s="14" t="str">
        <x:v>73</x:v>
      </x:c>
      <x:c r="H114" s="14" t="str">
        <x:v>SOURCE_SECONDAIRE_A_VALIDER</x:v>
      </x:c>
      <x:c r="I114" s="14" t="str">
        <x:v>S05</x:v>
      </x:c>
      <x:c r="J114" s="14" t="str">
        <x:v>PCode conservé comme valeur de travail; validation officielle requise.</x:v>
      </x:c>
      <x:c r="K114" s="14" t="str">
        <x:v>2026-09-13</x:v>
      </x:c>
    </x:row>
    <x:row r="115">
      <x:c r="A115" s="14" t="n">
        <x:v>112</x:v>
      </x:c>
      <x:c r="B115" s="14" t="n">
        <x:v>20</x:v>
      </x:c>
      <x:c r="C115" s="14" t="str">
        <x:v>Haut-Lomami</x:v>
      </x:c>
      <x:c r="D115" s="14" t="str">
        <x:v>Kaniama</x:v>
      </x:c>
      <x:c r="E115" s="14" t="str">
        <x:v>COD-P20-T04</x:v>
      </x:c>
      <x:c r="F115" s="14" t="str">
        <x:v>7303</x:v>
      </x:c>
      <x:c r="G115" s="14" t="str">
        <x:v>73</x:v>
      </x:c>
      <x:c r="H115" s="14" t="str">
        <x:v>SOURCE_SECONDAIRE_A_VALIDER</x:v>
      </x:c>
      <x:c r="I115" s="14" t="str">
        <x:v>S05</x:v>
      </x:c>
      <x:c r="J115" s="14" t="str">
        <x:v>PCode conservé comme valeur de travail; validation officielle requise.</x:v>
      </x:c>
      <x:c r="K115" s="14" t="str">
        <x:v>2026-09-13</x:v>
      </x:c>
    </x:row>
    <x:row r="116">
      <x:c r="A116" s="14" t="n">
        <x:v>113</x:v>
      </x:c>
      <x:c r="B116" s="14" t="n">
        <x:v>20</x:v>
      </x:c>
      <x:c r="C116" s="14" t="str">
        <x:v>Haut-Lomami</x:v>
      </x:c>
      <x:c r="D116" s="14" t="str">
        <x:v>Malemba-Nkulu</x:v>
      </x:c>
      <x:c r="E116" s="14" t="str">
        <x:v>COD-P20-T05</x:v>
      </x:c>
      <x:c r="F116" s="14" t="str">
        <x:v>7305</x:v>
      </x:c>
      <x:c r="G116" s="14" t="str">
        <x:v>73</x:v>
      </x:c>
      <x:c r="H116" s="14" t="str">
        <x:v>SOURCE_SECONDAIRE_A_VALIDER</x:v>
      </x:c>
      <x:c r="I116" s="14" t="str">
        <x:v>S05</x:v>
      </x:c>
      <x:c r="J116" s="14" t="str">
        <x:v>PCode conservé comme valeur de travail; validation officielle requise.</x:v>
      </x:c>
      <x:c r="K116" s="14" t="str">
        <x:v>2026-09-13</x:v>
      </x:c>
    </x:row>
    <x:row r="117">
      <x:c r="A117" s="14" t="n">
        <x:v>114</x:v>
      </x:c>
      <x:c r="B117" s="14" t="n">
        <x:v>21</x:v>
      </x:c>
      <x:c r="C117" s="14" t="str">
        <x:v>Tanganyika</x:v>
      </x:c>
      <x:c r="D117" s="14" t="str">
        <x:v>Kabalo</x:v>
      </x:c>
      <x:c r="E117" s="14" t="str">
        <x:v>COD-P21-T01</x:v>
      </x:c>
      <x:c r="F117" s="14" t="str">
        <x:v>7407</x:v>
      </x:c>
      <x:c r="G117" s="14" t="str">
        <x:v>74</x:v>
      </x:c>
      <x:c r="H117" s="14" t="str">
        <x:v>SOURCE_SECONDAIRE_A_VALIDER</x:v>
      </x:c>
      <x:c r="I117" s="14" t="str">
        <x:v>S05</x:v>
      </x:c>
      <x:c r="J117" s="14" t="str">
        <x:v>PCode conservé comme valeur de travail; validation officielle requise.</x:v>
      </x:c>
      <x:c r="K117" s="14" t="str">
        <x:v>2026-09-13</x:v>
      </x:c>
    </x:row>
    <x:row r="118">
      <x:c r="A118" s="14" t="n">
        <x:v>115</x:v>
      </x:c>
      <x:c r="B118" s="14" t="n">
        <x:v>21</x:v>
      </x:c>
      <x:c r="C118" s="14" t="str">
        <x:v>Tanganyika</x:v>
      </x:c>
      <x:c r="D118" s="14" t="str">
        <x:v>Kalemie</x:v>
      </x:c>
      <x:c r="E118" s="14" t="str">
        <x:v>COD-P21-T02</x:v>
      </x:c>
      <x:c r="F118" s="14" t="str">
        <x:v>7402</x:v>
      </x:c>
      <x:c r="G118" s="14" t="str">
        <x:v>74</x:v>
      </x:c>
      <x:c r="H118" s="14" t="str">
        <x:v>SOURCE_SECONDAIRE_A_VALIDER</x:v>
      </x:c>
      <x:c r="I118" s="14" t="str">
        <x:v>S05</x:v>
      </x:c>
      <x:c r="J118" s="14" t="str">
        <x:v>PCode conservé comme valeur de travail; validation officielle requise.</x:v>
      </x:c>
      <x:c r="K118" s="14" t="str">
        <x:v>2026-09-13</x:v>
      </x:c>
    </x:row>
    <x:row r="119">
      <x:c r="A119" s="32" t="n">
        <x:v>116</x:v>
      </x:c>
      <x:c r="B119" s="32" t="n">
        <x:v>21</x:v>
      </x:c>
      <x:c r="C119" s="32" t="str">
        <x:v>Tanganyika</x:v>
      </x:c>
      <x:c r="D119" s="32" t="str">
        <x:v>Kongolo</x:v>
      </x:c>
      <x:c r="E119" s="32" t="str">
        <x:v>COD-P21-T03</x:v>
      </x:c>
      <x:c r="F119" s="32" t="str">
        <x:v>9109</x:v>
      </x:c>
      <x:c r="G119" s="32" t="str">
        <x:v>74</x:v>
      </x:c>
      <x:c r="H119" s="32" t="str">
        <x:v>CONFLIT_A_VALIDER</x:v>
      </x:c>
      <x:c r="I119" s="32" t="str">
        <x:v>S05</x:v>
      </x:c>
      <x:c r="J119" s="32" t="str">
        <x:v>Préfixe du PCode brut incompatible avec la province; vérifier RGC/OCHA/CAID.</x:v>
      </x:c>
      <x:c r="K119" s="32" t="str">
        <x:v>2026-09-13</x:v>
      </x:c>
    </x:row>
    <x:row r="120">
      <x:c r="A120" s="14" t="n">
        <x:v>117</x:v>
      </x:c>
      <x:c r="B120" s="14" t="n">
        <x:v>21</x:v>
      </x:c>
      <x:c r="C120" s="14" t="str">
        <x:v>Tanganyika</x:v>
      </x:c>
      <x:c r="D120" s="14" t="str">
        <x:v>Manono</x:v>
      </x:c>
      <x:c r="E120" s="14" t="str">
        <x:v>COD-P21-T04</x:v>
      </x:c>
      <x:c r="F120" s="14" t="str">
        <x:v>7406</x:v>
      </x:c>
      <x:c r="G120" s="14" t="str">
        <x:v>74</x:v>
      </x:c>
      <x:c r="H120" s="14" t="str">
        <x:v>SOURCE_SECONDAIRE_A_VALIDER</x:v>
      </x:c>
      <x:c r="I120" s="14" t="str">
        <x:v>S05</x:v>
      </x:c>
      <x:c r="J120" s="14" t="str">
        <x:v>PCode conservé comme valeur de travail; validation officielle requise.</x:v>
      </x:c>
      <x:c r="K120" s="14" t="str">
        <x:v>2026-09-13</x:v>
      </x:c>
    </x:row>
    <x:row r="121">
      <x:c r="A121" s="14" t="n">
        <x:v>118</x:v>
      </x:c>
      <x:c r="B121" s="14" t="n">
        <x:v>21</x:v>
      </x:c>
      <x:c r="C121" s="14" t="str">
        <x:v>Tanganyika</x:v>
      </x:c>
      <x:c r="D121" s="14" t="str">
        <x:v>Moba</x:v>
      </x:c>
      <x:c r="E121" s="14" t="str">
        <x:v>COD-P21-T05</x:v>
      </x:c>
      <x:c r="F121" s="14" t="str">
        <x:v>7404</x:v>
      </x:c>
      <x:c r="G121" s="14" t="str">
        <x:v>74</x:v>
      </x:c>
      <x:c r="H121" s="14" t="str">
        <x:v>SOURCE_SECONDAIRE_A_VALIDER</x:v>
      </x:c>
      <x:c r="I121" s="14" t="str">
        <x:v>S05</x:v>
      </x:c>
      <x:c r="J121" s="14" t="str">
        <x:v>PCode conservé comme valeur de travail; validation officielle requise.</x:v>
      </x:c>
      <x:c r="K121" s="14" t="str">
        <x:v>2026-09-13</x:v>
      </x:c>
    </x:row>
    <x:row r="122">
      <x:c r="A122" s="14" t="n">
        <x:v>119</x:v>
      </x:c>
      <x:c r="B122" s="14" t="n">
        <x:v>21</x:v>
      </x:c>
      <x:c r="C122" s="14" t="str">
        <x:v>Tanganyika</x:v>
      </x:c>
      <x:c r="D122" s="14" t="str">
        <x:v>Nyunzu</x:v>
      </x:c>
      <x:c r="E122" s="14" t="str">
        <x:v>COD-P21-T06</x:v>
      </x:c>
      <x:c r="F122" s="14" t="str">
        <x:v>7410</x:v>
      </x:c>
      <x:c r="G122" s="14" t="str">
        <x:v>74</x:v>
      </x:c>
      <x:c r="H122" s="14" t="str">
        <x:v>SOURCE_SECONDAIRE_A_VALIDER</x:v>
      </x:c>
      <x:c r="I122" s="14" t="str">
        <x:v>S05</x:v>
      </x:c>
      <x:c r="J122" s="14" t="str">
        <x:v>PCode conservé comme valeur de travail; validation officielle requise.</x:v>
      </x:c>
      <x:c r="K122" s="14" t="str">
        <x:v>2026-09-13</x:v>
      </x:c>
    </x:row>
    <x:row r="123">
      <x:c r="A123" s="14" t="n">
        <x:v>120</x:v>
      </x:c>
      <x:c r="B123" s="14" t="n">
        <x:v>22</x:v>
      </x:c>
      <x:c r="C123" s="14" t="str">
        <x:v>Lomami</x:v>
      </x:c>
      <x:c r="D123" s="14" t="str">
        <x:v>Kabinda</x:v>
      </x:c>
      <x:c r="E123" s="14" t="str">
        <x:v>COD-P22-T01</x:v>
      </x:c>
      <x:c r="F123" s="14" t="str">
        <x:v>8102</x:v>
      </x:c>
      <x:c r="G123" s="14" t="str">
        <x:v>81</x:v>
      </x:c>
      <x:c r="H123" s="14" t="str">
        <x:v>SOURCE_SECONDAIRE_A_VALIDER</x:v>
      </x:c>
      <x:c r="I123" s="14" t="str">
        <x:v>S05</x:v>
      </x:c>
      <x:c r="J123" s="14" t="str">
        <x:v>PCode conservé comme valeur de travail; validation officielle requise.</x:v>
      </x:c>
      <x:c r="K123" s="14" t="str">
        <x:v>2026-09-13</x:v>
      </x:c>
    </x:row>
    <x:row r="124">
      <x:c r="A124" s="14" t="n">
        <x:v>121</x:v>
      </x:c>
      <x:c r="B124" s="14" t="n">
        <x:v>22</x:v>
      </x:c>
      <x:c r="C124" s="14" t="str">
        <x:v>Lomami</x:v>
      </x:c>
      <x:c r="D124" s="14" t="str">
        <x:v>Kamiji</x:v>
      </x:c>
      <x:c r="E124" s="14" t="str">
        <x:v>COD-P22-T02</x:v>
      </x:c>
      <x:c r="F124" s="14" t="str">
        <x:v>8105</x:v>
      </x:c>
      <x:c r="G124" s="14" t="str">
        <x:v>81</x:v>
      </x:c>
      <x:c r="H124" s="14" t="str">
        <x:v>SOURCE_SECONDAIRE_A_VALIDER</x:v>
      </x:c>
      <x:c r="I124" s="14" t="str">
        <x:v>S05</x:v>
      </x:c>
      <x:c r="J124" s="14" t="str">
        <x:v>PCode conservé comme valeur de travail; validation officielle requise.</x:v>
      </x:c>
      <x:c r="K124" s="14" t="str">
        <x:v>2026-09-13</x:v>
      </x:c>
    </x:row>
    <x:row r="125">
      <x:c r="A125" s="14" t="n">
        <x:v>122</x:v>
      </x:c>
      <x:c r="B125" s="14" t="n">
        <x:v>22</x:v>
      </x:c>
      <x:c r="C125" s="14" t="str">
        <x:v>Lomami</x:v>
      </x:c>
      <x:c r="D125" s="14" t="str">
        <x:v>Lubao</x:v>
      </x:c>
      <x:c r="E125" s="14" t="str">
        <x:v>COD-P22-T03</x:v>
      </x:c>
      <x:c r="F125" s="14" t="str">
        <x:v>8109</x:v>
      </x:c>
      <x:c r="G125" s="14" t="str">
        <x:v>81</x:v>
      </x:c>
      <x:c r="H125" s="14" t="str">
        <x:v>SOURCE_SECONDAIRE_A_VALIDER</x:v>
      </x:c>
      <x:c r="I125" s="14" t="str">
        <x:v>S05</x:v>
      </x:c>
      <x:c r="J125" s="14" t="str">
        <x:v>PCode conservé comme valeur de travail; validation officielle requise.</x:v>
      </x:c>
      <x:c r="K125" s="14" t="str">
        <x:v>2026-09-13</x:v>
      </x:c>
    </x:row>
    <x:row r="126">
      <x:c r="A126" s="14" t="n">
        <x:v>123</x:v>
      </x:c>
      <x:c r="B126" s="14" t="n">
        <x:v>22</x:v>
      </x:c>
      <x:c r="C126" s="14" t="str">
        <x:v>Lomami</x:v>
      </x:c>
      <x:c r="D126" s="14" t="str">
        <x:v>Luilu</x:v>
      </x:c>
      <x:c r="E126" s="14" t="str">
        <x:v>COD-P22-T04</x:v>
      </x:c>
      <x:c r="F126" s="14" t="str">
        <x:v>8104</x:v>
      </x:c>
      <x:c r="G126" s="14" t="str">
        <x:v>81</x:v>
      </x:c>
      <x:c r="H126" s="14" t="str">
        <x:v>SOURCE_SECONDAIRE_A_VALIDER</x:v>
      </x:c>
      <x:c r="I126" s="14" t="str">
        <x:v>S05</x:v>
      </x:c>
      <x:c r="J126" s="14" t="str">
        <x:v>PCode conservé comme valeur de travail; validation officielle requise.</x:v>
      </x:c>
      <x:c r="K126" s="14" t="str">
        <x:v>2026-09-13</x:v>
      </x:c>
    </x:row>
    <x:row r="127">
      <x:c r="A127" s="14" t="n">
        <x:v>124</x:v>
      </x:c>
      <x:c r="B127" s="14" t="n">
        <x:v>22</x:v>
      </x:c>
      <x:c r="C127" s="14" t="str">
        <x:v>Lomami</x:v>
      </x:c>
      <x:c r="D127" s="14" t="str">
        <x:v>Ngandajika</x:v>
      </x:c>
      <x:c r="E127" s="14" t="str">
        <x:v>COD-P22-T05</x:v>
      </x:c>
      <x:c r="F127" s="14" t="str">
        <x:v>8107</x:v>
      </x:c>
      <x:c r="G127" s="14" t="str">
        <x:v>81</x:v>
      </x:c>
      <x:c r="H127" s="14" t="str">
        <x:v>SOURCE_SECONDAIRE_A_VALIDER</x:v>
      </x:c>
      <x:c r="I127" s="14" t="str">
        <x:v>S05</x:v>
      </x:c>
      <x:c r="J127" s="14" t="str">
        <x:v>PCode conservé comme valeur de travail; validation officielle requise.</x:v>
      </x:c>
      <x:c r="K127" s="14" t="str">
        <x:v>2026-09-13</x:v>
      </x:c>
    </x:row>
    <x:row r="128">
      <x:c r="A128" s="14" t="n">
        <x:v>125</x:v>
      </x:c>
      <x:c r="B128" s="14" t="n">
        <x:v>23</x:v>
      </x:c>
      <x:c r="C128" s="14" t="str">
        <x:v>Kasaï-Oriental</x:v>
      </x:c>
      <x:c r="D128" s="14" t="str">
        <x:v>Kabeya-Kamwanga</x:v>
      </x:c>
      <x:c r="E128" s="14" t="str">
        <x:v>COD-P23-T01</x:v>
      </x:c>
      <x:c r="F128" s="14" t="str">
        <x:v>8207</x:v>
      </x:c>
      <x:c r="G128" s="14" t="str">
        <x:v>82</x:v>
      </x:c>
      <x:c r="H128" s="14" t="str">
        <x:v>SOURCE_SECONDAIRE_A_VALIDER</x:v>
      </x:c>
      <x:c r="I128" s="14" t="str">
        <x:v>S05</x:v>
      </x:c>
      <x:c r="J128" s="14" t="str">
        <x:v>PCode conservé comme valeur de travail; validation officielle requise.</x:v>
      </x:c>
      <x:c r="K128" s="14" t="str">
        <x:v>2026-09-13</x:v>
      </x:c>
    </x:row>
    <x:row r="129">
      <x:c r="A129" s="14" t="n">
        <x:v>126</x:v>
      </x:c>
      <x:c r="B129" s="14" t="n">
        <x:v>23</x:v>
      </x:c>
      <x:c r="C129" s="14" t="str">
        <x:v>Kasaï-Oriental</x:v>
      </x:c>
      <x:c r="D129" s="14" t="str">
        <x:v>Katanda</x:v>
      </x:c>
      <x:c r="E129" s="14" t="str">
        <x:v>COD-P23-T02</x:v>
      </x:c>
      <x:c r="F129" s="14" t="str">
        <x:v>8209</x:v>
      </x:c>
      <x:c r="G129" s="14" t="str">
        <x:v>82</x:v>
      </x:c>
      <x:c r="H129" s="14" t="str">
        <x:v>SOURCE_SECONDAIRE_A_VALIDER</x:v>
      </x:c>
      <x:c r="I129" s="14" t="str">
        <x:v>S05</x:v>
      </x:c>
      <x:c r="J129" s="14" t="str">
        <x:v>PCode conservé comme valeur de travail; validation officielle requise.</x:v>
      </x:c>
      <x:c r="K129" s="14" t="str">
        <x:v>2026-09-13</x:v>
      </x:c>
    </x:row>
    <x:row r="130">
      <x:c r="A130" s="14" t="n">
        <x:v>127</x:v>
      </x:c>
      <x:c r="B130" s="14" t="n">
        <x:v>23</x:v>
      </x:c>
      <x:c r="C130" s="14" t="str">
        <x:v>Kasaï-Oriental</x:v>
      </x:c>
      <x:c r="D130" s="14" t="str">
        <x:v>Lupatapata</x:v>
      </x:c>
      <x:c r="E130" s="14" t="str">
        <x:v>COD-P23-T03</x:v>
      </x:c>
      <x:c r="F130" s="14" t="str">
        <x:v>8208</x:v>
      </x:c>
      <x:c r="G130" s="14" t="str">
        <x:v>82</x:v>
      </x:c>
      <x:c r="H130" s="14" t="str">
        <x:v>SOURCE_SECONDAIRE_A_VALIDER</x:v>
      </x:c>
      <x:c r="I130" s="14" t="str">
        <x:v>S05</x:v>
      </x:c>
      <x:c r="J130" s="14" t="str">
        <x:v>PCode conservé comme valeur de travail; validation officielle requise.</x:v>
      </x:c>
      <x:c r="K130" s="14" t="str">
        <x:v>2026-09-13</x:v>
      </x:c>
    </x:row>
    <x:row r="131">
      <x:c r="A131" s="14" t="n">
        <x:v>128</x:v>
      </x:c>
      <x:c r="B131" s="14" t="n">
        <x:v>23</x:v>
      </x:c>
      <x:c r="C131" s="14" t="str">
        <x:v>Kasaï-Oriental</x:v>
      </x:c>
      <x:c r="D131" s="14" t="str">
        <x:v>Miabi</x:v>
      </x:c>
      <x:c r="E131" s="14" t="str">
        <x:v>COD-P23-T04</x:v>
      </x:c>
      <x:c r="F131" s="14" t="str">
        <x:v>8206</x:v>
      </x:c>
      <x:c r="G131" s="14" t="str">
        <x:v>82</x:v>
      </x:c>
      <x:c r="H131" s="14" t="str">
        <x:v>SOURCE_SECONDAIRE_A_VALIDER</x:v>
      </x:c>
      <x:c r="I131" s="14" t="str">
        <x:v>S05</x:v>
      </x:c>
      <x:c r="J131" s="14" t="str">
        <x:v>PCode conservé comme valeur de travail; validation officielle requise.</x:v>
      </x:c>
      <x:c r="K131" s="14" t="str">
        <x:v>2026-09-13</x:v>
      </x:c>
    </x:row>
    <x:row r="132">
      <x:c r="A132" s="14" t="n">
        <x:v>129</x:v>
      </x:c>
      <x:c r="B132" s="14" t="n">
        <x:v>23</x:v>
      </x:c>
      <x:c r="C132" s="14" t="str">
        <x:v>Kasaï-Oriental</x:v>
      </x:c>
      <x:c r="D132" s="14" t="str">
        <x:v>Tshilenge</x:v>
      </x:c>
      <x:c r="E132" s="14" t="str">
        <x:v>COD-P23-T05</x:v>
      </x:c>
      <x:c r="F132" s="14" t="str">
        <x:v>8203</x:v>
      </x:c>
      <x:c r="G132" s="14" t="str">
        <x:v>82</x:v>
      </x:c>
      <x:c r="H132" s="14" t="str">
        <x:v>SOURCE_SECONDAIRE_A_VALIDER</x:v>
      </x:c>
      <x:c r="I132" s="14" t="str">
        <x:v>S05</x:v>
      </x:c>
      <x:c r="J132" s="14" t="str">
        <x:v>PCode conservé comme valeur de travail; validation officielle requise.</x:v>
      </x:c>
      <x:c r="K132" s="14" t="str">
        <x:v>2026-09-13</x:v>
      </x:c>
    </x:row>
    <x:row r="133">
      <x:c r="A133" s="14" t="n">
        <x:v>130</x:v>
      </x:c>
      <x:c r="B133" s="14" t="n">
        <x:v>24</x:v>
      </x:c>
      <x:c r="C133" s="14" t="str">
        <x:v>Sankuru</x:v>
      </x:c>
      <x:c r="D133" s="14" t="str">
        <x:v>Katako-Kombe</x:v>
      </x:c>
      <x:c r="E133" s="14" t="str">
        <x:v>COD-P24-T01</x:v>
      </x:c>
      <x:c r="F133" s="14" t="str">
        <x:v>8308</x:v>
      </x:c>
      <x:c r="G133" s="14" t="str">
        <x:v>83</x:v>
      </x:c>
      <x:c r="H133" s="14" t="str">
        <x:v>SOURCE_SECONDAIRE_A_VALIDER</x:v>
      </x:c>
      <x:c r="I133" s="14" t="str">
        <x:v>S05</x:v>
      </x:c>
      <x:c r="J133" s="14" t="str">
        <x:v>PCode conservé comme valeur de travail; validation officielle requise.</x:v>
      </x:c>
      <x:c r="K133" s="14" t="str">
        <x:v>2026-09-13</x:v>
      </x:c>
    </x:row>
    <x:row r="134">
      <x:c r="A134" s="14" t="n">
        <x:v>131</x:v>
      </x:c>
      <x:c r="B134" s="14" t="n">
        <x:v>24</x:v>
      </x:c>
      <x:c r="C134" s="14" t="str">
        <x:v>Sankuru</x:v>
      </x:c>
      <x:c r="D134" s="14" t="str">
        <x:v>Kole</x:v>
      </x:c>
      <x:c r="E134" s="14" t="str">
        <x:v>COD-P24-T02</x:v>
      </x:c>
      <x:c r="F134" s="14" t="str">
        <x:v>8306</x:v>
      </x:c>
      <x:c r="G134" s="14" t="str">
        <x:v>83</x:v>
      </x:c>
      <x:c r="H134" s="14" t="str">
        <x:v>SOURCE_SECONDAIRE_A_VALIDER</x:v>
      </x:c>
      <x:c r="I134" s="14" t="str">
        <x:v>S05</x:v>
      </x:c>
      <x:c r="J134" s="14" t="str">
        <x:v>PCode conservé comme valeur de travail; validation officielle requise.</x:v>
      </x:c>
      <x:c r="K134" s="14" t="str">
        <x:v>2026-09-13</x:v>
      </x:c>
    </x:row>
    <x:row r="135">
      <x:c r="A135" s="14" t="n">
        <x:v>132</x:v>
      </x:c>
      <x:c r="B135" s="14" t="n">
        <x:v>24</x:v>
      </x:c>
      <x:c r="C135" s="14" t="str">
        <x:v>Sankuru</x:v>
      </x:c>
      <x:c r="D135" s="14" t="str">
        <x:v>Lodja</x:v>
      </x:c>
      <x:c r="E135" s="14" t="str">
        <x:v>COD-P24-T03</x:v>
      </x:c>
      <x:c r="F135" s="14" t="str">
        <x:v>8304</x:v>
      </x:c>
      <x:c r="G135" s="14" t="str">
        <x:v>83</x:v>
      </x:c>
      <x:c r="H135" s="14" t="str">
        <x:v>SOURCE_SECONDAIRE_A_VALIDER</x:v>
      </x:c>
      <x:c r="I135" s="14" t="str">
        <x:v>S05</x:v>
      </x:c>
      <x:c r="J135" s="14" t="str">
        <x:v>PCode conservé comme valeur de travail; validation officielle requise.</x:v>
      </x:c>
      <x:c r="K135" s="14" t="str">
        <x:v>2026-09-13</x:v>
      </x:c>
    </x:row>
    <x:row r="136">
      <x:c r="A136" s="14" t="n">
        <x:v>133</x:v>
      </x:c>
      <x:c r="B136" s="14" t="n">
        <x:v>24</x:v>
      </x:c>
      <x:c r="C136" s="14" t="str">
        <x:v>Sankuru</x:v>
      </x:c>
      <x:c r="D136" s="14" t="str">
        <x:v>Lomela</x:v>
      </x:c>
      <x:c r="E136" s="14" t="str">
        <x:v>COD-P24-T04</x:v>
      </x:c>
      <x:c r="F136" s="14" t="str">
        <x:v>8307</x:v>
      </x:c>
      <x:c r="G136" s="14" t="str">
        <x:v>83</x:v>
      </x:c>
      <x:c r="H136" s="14" t="str">
        <x:v>SOURCE_SECONDAIRE_A_VALIDER</x:v>
      </x:c>
      <x:c r="I136" s="14" t="str">
        <x:v>S05</x:v>
      </x:c>
      <x:c r="J136" s="14" t="str">
        <x:v>PCode conservé comme valeur de travail; validation officielle requise.</x:v>
      </x:c>
      <x:c r="K136" s="14" t="str">
        <x:v>2026-09-13</x:v>
      </x:c>
    </x:row>
    <x:row r="137">
      <x:c r="A137" s="14" t="n">
        <x:v>134</x:v>
      </x:c>
      <x:c r="B137" s="14" t="n">
        <x:v>24</x:v>
      </x:c>
      <x:c r="C137" s="14" t="str">
        <x:v>Sankuru</x:v>
      </x:c>
      <x:c r="D137" s="14" t="str">
        <x:v>Lubefu</x:v>
      </x:c>
      <x:c r="E137" s="14" t="str">
        <x:v>COD-P24-T05</x:v>
      </x:c>
      <x:c r="F137" s="14" t="str">
        <x:v>8309</x:v>
      </x:c>
      <x:c r="G137" s="14" t="str">
        <x:v>83</x:v>
      </x:c>
      <x:c r="H137" s="14" t="str">
        <x:v>SOURCE_SECONDAIRE_A_VALIDER</x:v>
      </x:c>
      <x:c r="I137" s="14" t="str">
        <x:v>S05</x:v>
      </x:c>
      <x:c r="J137" s="14" t="str">
        <x:v>PCode conservé comme valeur de travail; validation officielle requise.</x:v>
      </x:c>
      <x:c r="K137" s="14" t="str">
        <x:v>2026-09-13</x:v>
      </x:c>
    </x:row>
    <x:row r="138">
      <x:c r="A138" s="14" t="n">
        <x:v>135</x:v>
      </x:c>
      <x:c r="B138" s="14" t="n">
        <x:v>24</x:v>
      </x:c>
      <x:c r="C138" s="14" t="str">
        <x:v>Sankuru</x:v>
      </x:c>
      <x:c r="D138" s="14" t="str">
        <x:v>Lusambo</x:v>
      </x:c>
      <x:c r="E138" s="14" t="str">
        <x:v>COD-P24-T06</x:v>
      </x:c>
      <x:c r="F138" s="14" t="str">
        <x:v>8302</x:v>
      </x:c>
      <x:c r="G138" s="14" t="str">
        <x:v>83</x:v>
      </x:c>
      <x:c r="H138" s="14" t="str">
        <x:v>SOURCE_SECONDAIRE_A_VALIDER</x:v>
      </x:c>
      <x:c r="I138" s="14" t="str">
        <x:v>S05</x:v>
      </x:c>
      <x:c r="J138" s="14" t="str">
        <x:v>PCode conservé comme valeur de travail; validation officielle requise.</x:v>
      </x:c>
      <x:c r="K138" s="14" t="str">
        <x:v>2026-09-13</x:v>
      </x:c>
    </x:row>
    <x:row r="139">
      <x:c r="A139" s="14" t="n">
        <x:v>136</x:v>
      </x:c>
      <x:c r="B139" s="14" t="n">
        <x:v>25</x:v>
      </x:c>
      <x:c r="C139" s="14" t="str">
        <x:v>Kasaï-Central</x:v>
      </x:c>
      <x:c r="D139" s="14" t="str">
        <x:v>Demba</x:v>
      </x:c>
      <x:c r="E139" s="14" t="str">
        <x:v>COD-P25-T01</x:v>
      </x:c>
      <x:c r="F139" s="14" t="str">
        <x:v>9106</x:v>
      </x:c>
      <x:c r="G139" s="14" t="str">
        <x:v>91</x:v>
      </x:c>
      <x:c r="H139" s="14" t="str">
        <x:v>SOURCE_SECONDAIRE_A_VALIDER</x:v>
      </x:c>
      <x:c r="I139" s="14" t="str">
        <x:v>S05</x:v>
      </x:c>
      <x:c r="J139" s="14" t="str">
        <x:v>PCode conservé comme valeur de travail; validation officielle requise.</x:v>
      </x:c>
      <x:c r="K139" s="14" t="str">
        <x:v>2026-09-13</x:v>
      </x:c>
    </x:row>
    <x:row r="140">
      <x:c r="A140" s="14" t="n">
        <x:v>137</x:v>
      </x:c>
      <x:c r="B140" s="14" t="n">
        <x:v>25</x:v>
      </x:c>
      <x:c r="C140" s="14" t="str">
        <x:v>Kasaï-Central</x:v>
      </x:c>
      <x:c r="D140" s="14" t="str">
        <x:v>Dibaya</x:v>
      </x:c>
      <x:c r="E140" s="14" t="str">
        <x:v>COD-P25-T02</x:v>
      </x:c>
      <x:c r="F140" s="14" t="str">
        <x:v>9102</x:v>
      </x:c>
      <x:c r="G140" s="14" t="str">
        <x:v>91</x:v>
      </x:c>
      <x:c r="H140" s="14" t="str">
        <x:v>SOURCE_SECONDAIRE_A_VALIDER</x:v>
      </x:c>
      <x:c r="I140" s="14" t="str">
        <x:v>S05</x:v>
      </x:c>
      <x:c r="J140" s="14" t="str">
        <x:v>PCode conservé comme valeur de travail; validation officielle requise.</x:v>
      </x:c>
      <x:c r="K140" s="14" t="str">
        <x:v>2026-09-13</x:v>
      </x:c>
    </x:row>
    <x:row r="141">
      <x:c r="A141" s="14" t="n">
        <x:v>138</x:v>
      </x:c>
      <x:c r="B141" s="14" t="n">
        <x:v>25</x:v>
      </x:c>
      <x:c r="C141" s="14" t="str">
        <x:v>Kasaï-Central</x:v>
      </x:c>
      <x:c r="D141" s="14" t="str">
        <x:v>Dimbelenge</x:v>
      </x:c>
      <x:c r="E141" s="14" t="str">
        <x:v>COD-P25-T03</x:v>
      </x:c>
      <x:c r="F141" s="14" t="str">
        <x:v>9107</x:v>
      </x:c>
      <x:c r="G141" s="14" t="str">
        <x:v>91</x:v>
      </x:c>
      <x:c r="H141" s="14" t="str">
        <x:v>SOURCE_SECONDAIRE_A_VALIDER</x:v>
      </x:c>
      <x:c r="I141" s="14" t="str">
        <x:v>S05</x:v>
      </x:c>
      <x:c r="J141" s="14" t="str">
        <x:v>PCode conservé comme valeur de travail; validation officielle requise.</x:v>
      </x:c>
      <x:c r="K141" s="14" t="str">
        <x:v>2026-09-13</x:v>
      </x:c>
    </x:row>
    <x:row r="142">
      <x:c r="A142" s="14" t="n">
        <x:v>139</x:v>
      </x:c>
      <x:c r="B142" s="14" t="n">
        <x:v>25</x:v>
      </x:c>
      <x:c r="C142" s="14" t="str">
        <x:v>Kasaï-Central</x:v>
      </x:c>
      <x:c r="D142" s="14" t="str">
        <x:v>Kazumba</x:v>
      </x:c>
      <x:c r="E142" s="14" t="str">
        <x:v>COD-P25-T04</x:v>
      </x:c>
      <x:c r="F142" s="14" t="str">
        <x:v>9105</x:v>
      </x:c>
      <x:c r="G142" s="14" t="str">
        <x:v>91</x:v>
      </x:c>
      <x:c r="H142" s="14" t="str">
        <x:v>SOURCE_SECONDAIRE_A_VALIDER</x:v>
      </x:c>
      <x:c r="I142" s="14" t="str">
        <x:v>S05</x:v>
      </x:c>
      <x:c r="J142" s="14" t="str">
        <x:v>PCode conservé comme valeur de travail; validation officielle requise.</x:v>
      </x:c>
      <x:c r="K142" s="14" t="str">
        <x:v>2026-09-13</x:v>
      </x:c>
    </x:row>
    <x:row r="143">
      <x:c r="A143" s="14" t="n">
        <x:v>140</x:v>
      </x:c>
      <x:c r="B143" s="14" t="n">
        <x:v>25</x:v>
      </x:c>
      <x:c r="C143" s="14" t="str">
        <x:v>Kasaï-Central</x:v>
      </x:c>
      <x:c r="D143" s="14" t="str">
        <x:v>Luiza</x:v>
      </x:c>
      <x:c r="E143" s="14" t="str">
        <x:v>COD-P25-T05</x:v>
      </x:c>
      <x:c r="F143" s="14" t="str">
        <x:v>9104</x:v>
      </x:c>
      <x:c r="G143" s="14" t="str">
        <x:v>91</x:v>
      </x:c>
      <x:c r="H143" s="14" t="str">
        <x:v>SOURCE_SECONDAIRE_A_VALIDER</x:v>
      </x:c>
      <x:c r="I143" s="14" t="str">
        <x:v>S05</x:v>
      </x:c>
      <x:c r="J143" s="14" t="str">
        <x:v>PCode conservé comme valeur de travail; validation officielle requise.</x:v>
      </x:c>
      <x:c r="K143" s="14" t="str">
        <x:v>2026-09-13</x:v>
      </x:c>
    </x:row>
    <x:row r="144">
      <x:c r="A144" s="14" t="n">
        <x:v>141</x:v>
      </x:c>
      <x:c r="B144" s="14" t="n">
        <x:v>26</x:v>
      </x:c>
      <x:c r="C144" s="14" t="str">
        <x:v>Kasaï</x:v>
      </x:c>
      <x:c r="D144" s="14" t="str">
        <x:v>Dekese</x:v>
      </x:c>
      <x:c r="E144" s="14" t="str">
        <x:v>COD-P26-T01</x:v>
      </x:c>
      <x:c r="F144" s="14" t="str">
        <x:v>9208</x:v>
      </x:c>
      <x:c r="G144" s="14" t="str">
        <x:v>92</x:v>
      </x:c>
      <x:c r="H144" s="14" t="str">
        <x:v>SOURCE_SECONDAIRE_A_VALIDER</x:v>
      </x:c>
      <x:c r="I144" s="14" t="str">
        <x:v>S05</x:v>
      </x:c>
      <x:c r="J144" s="14" t="str">
        <x:v>PCode conservé comme valeur de travail; validation officielle requise.</x:v>
      </x:c>
      <x:c r="K144" s="14" t="str">
        <x:v>2026-09-13</x:v>
      </x:c>
    </x:row>
    <x:row r="145">
      <x:c r="A145" s="14" t="n">
        <x:v>142</x:v>
      </x:c>
      <x:c r="B145" s="14" t="n">
        <x:v>26</x:v>
      </x:c>
      <x:c r="C145" s="14" t="str">
        <x:v>Kasaï</x:v>
      </x:c>
      <x:c r="D145" s="14" t="str">
        <x:v>Ilebo</x:v>
      </x:c>
      <x:c r="E145" s="14" t="str">
        <x:v>COD-P26-T02</x:v>
      </x:c>
      <x:c r="F145" s="14" t="str">
        <x:v>9206</x:v>
      </x:c>
      <x:c r="G145" s="14" t="str">
        <x:v>92</x:v>
      </x:c>
      <x:c r="H145" s="14" t="str">
        <x:v>SOURCE_SECONDAIRE_A_VALIDER</x:v>
      </x:c>
      <x:c r="I145" s="14" t="str">
        <x:v>S05</x:v>
      </x:c>
      <x:c r="J145" s="14" t="str">
        <x:v>PCode conservé comme valeur de travail; validation officielle requise.</x:v>
      </x:c>
      <x:c r="K145" s="14" t="str">
        <x:v>2026-09-13</x:v>
      </x:c>
    </x:row>
    <x:row r="146">
      <x:c r="A146" s="32" t="n">
        <x:v>143</x:v>
      </x:c>
      <x:c r="B146" s="32" t="n">
        <x:v>26</x:v>
      </x:c>
      <x:c r="C146" s="32" t="str">
        <x:v>Kasaï</x:v>
      </x:c>
      <x:c r="D146" s="32" t="str">
        <x:v>Kamonia</x:v>
      </x:c>
      <x:c r="E146" s="32" t="str">
        <x:v>COD-P26-T03</x:v>
      </x:c>
      <x:c r="F146" s="32" t="str">
        <x:v>9102</x:v>
      </x:c>
      <x:c r="G146" s="32" t="str">
        <x:v>92</x:v>
      </x:c>
      <x:c r="H146" s="32" t="str">
        <x:v>CONFLIT_A_VALIDER</x:v>
      </x:c>
      <x:c r="I146" s="32" t="str">
        <x:v>S05</x:v>
      </x:c>
      <x:c r="J146" s="32" t="str">
        <x:v>Préfixe du PCode brut incompatible avec la province; vérifier RGC/OCHA/CAID.</x:v>
      </x:c>
      <x:c r="K146" s="32" t="str">
        <x:v>2026-09-13</x:v>
      </x:c>
    </x:row>
    <x:row r="147">
      <x:c r="A147" s="14" t="n">
        <x:v>144</x:v>
      </x:c>
      <x:c r="B147" s="14" t="n">
        <x:v>26</x:v>
      </x:c>
      <x:c r="C147" s="14" t="str">
        <x:v>Kasaï</x:v>
      </x:c>
      <x:c r="D147" s="14" t="str">
        <x:v>Luebo</x:v>
      </x:c>
      <x:c r="E147" s="14" t="str">
        <x:v>COD-P26-T04</x:v>
      </x:c>
      <x:c r="F147" s="14" t="str">
        <x:v>9204</x:v>
      </x:c>
      <x:c r="G147" s="14" t="str">
        <x:v>92</x:v>
      </x:c>
      <x:c r="H147" s="14" t="str">
        <x:v>SOURCE_SECONDAIRE_A_VALIDER</x:v>
      </x:c>
      <x:c r="I147" s="14" t="str">
        <x:v>S05</x:v>
      </x:c>
      <x:c r="J147" s="14" t="str">
        <x:v>PCode conservé comme valeur de travail; validation officielle requise.</x:v>
      </x:c>
      <x:c r="K147" s="14" t="str">
        <x:v>2026-09-13</x:v>
      </x:c>
    </x:row>
    <x:row r="148">
      <x:c r="A148" s="14" t="n">
        <x:v>145</x:v>
      </x:c>
      <x:c r="B148" s="14" t="n">
        <x:v>26</x:v>
      </x:c>
      <x:c r="C148" s="14" t="str">
        <x:v>Kasaï</x:v>
      </x:c>
      <x:c r="D148" s="14" t="str">
        <x:v>Mweka</x:v>
      </x:c>
      <x:c r="E148" s="14" t="str">
        <x:v>COD-P26-T05</x:v>
      </x:c>
      <x:c r="F148" s="14" t="str">
        <x:v>9207</x:v>
      </x:c>
      <x:c r="G148" s="14" t="str">
        <x:v>92</x:v>
      </x:c>
      <x:c r="H148" s="14" t="str">
        <x:v>SOURCE_SECONDAIRE_A_VALIDER</x:v>
      </x:c>
      <x:c r="I148" s="14" t="str">
        <x:v>S05</x:v>
      </x:c>
      <x:c r="J148" s="14" t="str">
        <x:v>PCode conservé comme valeur de travail; validation officielle requise.</x:v>
      </x:c>
      <x:c r="K148" s="14" t="str">
        <x:v>2026-09-13</x:v>
      </x:c>
    </x:row>
  </x:sheetData>
  <x:mergeCells>
    <x:mergeCell ref="A1:K1"/>
    <x:mergeCell ref="A2:K2"/>
  </x:mergeCells>
  <x:pageMargins left="0.7" right="0.7" top="0.75" bottom="0.75" header="0.3" footer="0.3"/>
  <x:tableParts count="1">
    <x:tablePart xmlns:r="http://schemas.openxmlformats.org/officeDocument/2006/relationships" r:id="R5d477643e8894932"/>
  </x:tableParts>
</x:worksheet>
</file>

<file path=xl/worksheets/sheet5.xml><?xml version="1.0" encoding="utf-8"?>
<x:worksheet xmlns:x="http://schemas.openxmlformats.org/spreadsheetml/2006/main">
  <x:sheetFormatPr defaultRowHeight="15"/>
  <x:cols>
    <x:col min="1" max="1" width="16" hidden="0" customWidth="1"/>
    <x:col min="2" max="2" width="13" hidden="0" customWidth="1"/>
    <x:col min="3" max="3" width="15" hidden="0" customWidth="1"/>
    <x:col min="4" max="4" width="28" hidden="0" customWidth="1"/>
    <x:col min="5" max="5" width="12" hidden="0" customWidth="1"/>
    <x:col min="6" max="6" width="12" hidden="0" customWidth="1"/>
    <x:col min="7" max="7" width="12" hidden="0" customWidth="1"/>
    <x:col min="8" max="8" width="12" hidden="0" customWidth="1"/>
    <x:col min="9" max="9" width="13" hidden="0" customWidth="1"/>
    <x:col min="10" max="10" width="11" hidden="0" customWidth="1"/>
    <x:col min="11" max="11" width="31" hidden="0" customWidth="1"/>
  </x:cols>
  <x:sheetData>
    <x:row r="1" ht="28" customHeight="1">
      <x:c r="A1" s="36" t="str">
        <x:v>Secteurs et chefferies — nomenclature historique CENI 2018 intégrée</x:v>
      </x:c>
      <x:c r="B1" s="36"/>
      <x:c r="C1" s="36"/>
      <x:c r="D1" s="36"/>
      <x:c r="E1" s="36"/>
      <x:c r="F1" s="36"/>
      <x:c r="G1" s="36"/>
      <x:c r="H1" s="36"/>
      <x:c r="I1" s="36"/>
      <x:c r="J1" s="36"/>
      <x:c r="K1" s="36"/>
    </x:row>
    <x:row r="2">
      <x:c r="A2" s="39" t="str">
        <x:v>734 entités chargées à partir de la nomenclature 2018 citant la CENI. Statut HISTORIQUE_CENI_2018_A_VALIDER : les noms/types doivent être rapprochés de la nomenclature administrative 2025 avant usage officiel.</x:v>
      </x:c>
      <x:c r="B2" s="39"/>
      <x:c r="C2" s="39"/>
      <x:c r="D2" s="39"/>
      <x:c r="E2" s="39"/>
      <x:c r="F2" s="39"/>
      <x:c r="G2" s="39"/>
      <x:c r="H2" s="39"/>
      <x:c r="I2" s="39"/>
      <x:c r="J2" s="39"/>
      <x:c r="K2" s="39"/>
    </x:row>
    <x:row r="3">
      <x:c r="A3" s="40" t="str">
        <x:v>secteur_chefferie_id</x:v>
      </x:c>
      <x:c r="B3" s="40" t="str">
        <x:v>territoire_id</x:v>
      </x:c>
      <x:c r="C3" s="40" t="str">
        <x:v>type_entite</x:v>
      </x:c>
      <x:c r="D3" s="40" t="str">
        <x:v>nom_entite</x:v>
      </x:c>
      <x:c r="E3" s="40" t="str">
        <x:v>pcode</x:v>
      </x:c>
      <x:c r="F3" s="40" t="str">
        <x:v>code_ins</x:v>
      </x:c>
      <x:c r="G3" s="40" t="str">
        <x:v>latitude</x:v>
      </x:c>
      <x:c r="H3" s="40" t="str">
        <x:v>longitude</x:v>
      </x:c>
      <x:c r="I3" s="40" t="str">
        <x:v>annee_source</x:v>
      </x:c>
      <x:c r="J3" s="40" t="str">
        <x:v>source_id</x:v>
      </x:c>
      <x:c r="K3" s="40" t="str">
        <x:v>statut_validation</x:v>
      </x:c>
    </x:row>
    <x:row r="4">
      <x:c r="A4" s="14" t="n">
        <x:v>1</x:v>
      </x:c>
      <x:c r="B4" s="14" t="n">
        <x:v>60</x:v>
      </x:c>
      <x:c r="C4" s="14" t="str">
        <x:v>CHEFFERIE</x:v>
      </x:c>
      <x:c r="D4" s="14" t="str">
        <x:v>Avuru-Duma</x:v>
      </x:c>
      <x:c r="E4" s="14"/>
      <x:c r="F4" s="14"/>
      <x:c r="G4" s="14"/>
      <x:c r="H4" s="14"/>
      <x:c r="I4" s="14" t="n">
        <x:v>2018</x:v>
      </x:c>
      <x:c r="J4" s="14" t="str">
        <x:v>S06</x:v>
      </x:c>
      <x:c r="K4" s="14" t="str">
        <x:v>HISTORIQUE_CENI_2018_A_VALIDER</x:v>
      </x:c>
    </x:row>
    <x:row r="5">
      <x:c r="A5" s="14" t="n">
        <x:v>2</x:v>
      </x:c>
      <x:c r="B5" s="14" t="n">
        <x:v>60</x:v>
      </x:c>
      <x:c r="C5" s="14" t="str">
        <x:v>CHEFFERIE</x:v>
      </x:c>
      <x:c r="D5" s="14" t="str">
        <x:v>Avuru-Gatanga</x:v>
      </x:c>
      <x:c r="E5" s="14"/>
      <x:c r="F5" s="14"/>
      <x:c r="G5" s="14"/>
      <x:c r="H5" s="14"/>
      <x:c r="I5" s="14" t="n">
        <x:v>2018</x:v>
      </x:c>
      <x:c r="J5" s="14" t="str">
        <x:v>S06</x:v>
      </x:c>
      <x:c r="K5" s="14" t="str">
        <x:v>HISTORIQUE_CENI_2018_A_VALIDER</x:v>
      </x:c>
    </x:row>
    <x:row r="6">
      <x:c r="A6" s="14" t="n">
        <x:v>3</x:v>
      </x:c>
      <x:c r="B6" s="14" t="n">
        <x:v>60</x:v>
      </x:c>
      <x:c r="C6" s="14" t="str">
        <x:v>CHEFFERIE</x:v>
      </x:c>
      <x:c r="D6" s="14" t="str">
        <x:v>Bondongola</x:v>
      </x:c>
      <x:c r="E6" s="14"/>
      <x:c r="F6" s="14"/>
      <x:c r="G6" s="14"/>
      <x:c r="H6" s="14"/>
      <x:c r="I6" s="14" t="n">
        <x:v>2018</x:v>
      </x:c>
      <x:c r="J6" s="14" t="str">
        <x:v>S06</x:v>
      </x:c>
      <x:c r="K6" s="14" t="str">
        <x:v>HISTORIQUE_CENI_2018_A_VALIDER</x:v>
      </x:c>
    </x:row>
    <x:row r="7">
      <x:c r="A7" s="14" t="n">
        <x:v>4</x:v>
      </x:c>
      <x:c r="B7" s="14" t="n">
        <x:v>60</x:v>
      </x:c>
      <x:c r="C7" s="14" t="str">
        <x:v>CHEFFERIE</x:v>
      </x:c>
      <x:c r="D7" s="14" t="str">
        <x:v>Mabinza</x:v>
      </x:c>
      <x:c r="E7" s="14"/>
      <x:c r="F7" s="14"/>
      <x:c r="G7" s="14"/>
      <x:c r="H7" s="14"/>
      <x:c r="I7" s="14" t="n">
        <x:v>2018</x:v>
      </x:c>
      <x:c r="J7" s="14" t="str">
        <x:v>S06</x:v>
      </x:c>
      <x:c r="K7" s="14" t="str">
        <x:v>HISTORIQUE_CENI_2018_A_VALIDER</x:v>
      </x:c>
    </x:row>
    <x:row r="8">
      <x:c r="A8" s="14" t="n">
        <x:v>5</x:v>
      </x:c>
      <x:c r="B8" s="14" t="n">
        <x:v>60</x:v>
      </x:c>
      <x:c r="C8" s="14" t="str">
        <x:v>CHEFFERIE</x:v>
      </x:c>
      <x:c r="D8" s="14" t="str">
        <x:v>Mobati-Boyele</x:v>
      </x:c>
      <x:c r="E8" s="14"/>
      <x:c r="F8" s="14"/>
      <x:c r="G8" s="14"/>
      <x:c r="H8" s="14"/>
      <x:c r="I8" s="14" t="n">
        <x:v>2018</x:v>
      </x:c>
      <x:c r="J8" s="14" t="str">
        <x:v>S06</x:v>
      </x:c>
      <x:c r="K8" s="14" t="str">
        <x:v>HISTORIQUE_CENI_2018_A_VALIDER</x:v>
      </x:c>
    </x:row>
    <x:row r="9">
      <x:c r="A9" s="14" t="n">
        <x:v>6</x:v>
      </x:c>
      <x:c r="B9" s="14" t="n">
        <x:v>60</x:v>
      </x:c>
      <x:c r="C9" s="14" t="str">
        <x:v>CHEFFERIE</x:v>
      </x:c>
      <x:c r="D9" s="14" t="str">
        <x:v>Mongwandi</x:v>
      </x:c>
      <x:c r="E9" s="14"/>
      <x:c r="F9" s="14"/>
      <x:c r="G9" s="14"/>
      <x:c r="H9" s="14"/>
      <x:c r="I9" s="14" t="n">
        <x:v>2018</x:v>
      </x:c>
      <x:c r="J9" s="14" t="str">
        <x:v>S06</x:v>
      </x:c>
      <x:c r="K9" s="14" t="str">
        <x:v>HISTORIQUE_CENI_2018_A_VALIDER</x:v>
      </x:c>
    </x:row>
    <x:row r="10">
      <x:c r="A10" s="14" t="n">
        <x:v>7</x:v>
      </x:c>
      <x:c r="B10" s="14" t="n">
        <x:v>60</x:v>
      </x:c>
      <x:c r="C10" s="14" t="str">
        <x:v>SECTEUR</x:v>
      </x:c>
      <x:c r="D10" s="14" t="str">
        <x:v>Gbandi</x:v>
      </x:c>
      <x:c r="E10" s="14"/>
      <x:c r="F10" s="14"/>
      <x:c r="G10" s="14"/>
      <x:c r="H10" s="14"/>
      <x:c r="I10" s="14" t="n">
        <x:v>2018</x:v>
      </x:c>
      <x:c r="J10" s="14" t="str">
        <x:v>S06</x:v>
      </x:c>
      <x:c r="K10" s="14" t="str">
        <x:v>HISTORIQUE_CENI_2018_A_VALIDER</x:v>
      </x:c>
    </x:row>
    <x:row r="11">
      <x:c r="A11" s="14" t="n">
        <x:v>8</x:v>
      </x:c>
      <x:c r="B11" s="14" t="n">
        <x:v>60</x:v>
      </x:c>
      <x:c r="C11" s="14" t="str">
        <x:v>SECTEUR</x:v>
      </x:c>
      <x:c r="D11" s="14" t="str">
        <x:v>Yoko</x:v>
      </x:c>
      <x:c r="E11" s="14"/>
      <x:c r="F11" s="14"/>
      <x:c r="G11" s="14"/>
      <x:c r="H11" s="14"/>
      <x:c r="I11" s="14" t="n">
        <x:v>2018</x:v>
      </x:c>
      <x:c r="J11" s="14" t="str">
        <x:v>S06</x:v>
      </x:c>
      <x:c r="K11" s="14" t="str">
        <x:v>HISTORIQUE_CENI_2018_A_VALIDER</x:v>
      </x:c>
    </x:row>
    <x:row r="12">
      <x:c r="A12" s="14" t="n">
        <x:v>9</x:v>
      </x:c>
      <x:c r="B12" s="14" t="n">
        <x:v>61</x:v>
      </x:c>
      <x:c r="C12" s="14" t="str">
        <x:v>CHEFFERIE</x:v>
      </x:c>
      <x:c r="D12" s="14" t="str">
        <x:v>Ezo</x:v>
      </x:c>
      <x:c r="E12" s="14"/>
      <x:c r="F12" s="14"/>
      <x:c r="G12" s="14"/>
      <x:c r="H12" s="14"/>
      <x:c r="I12" s="14" t="n">
        <x:v>2018</x:v>
      </x:c>
      <x:c r="J12" s="14" t="str">
        <x:v>S06</x:v>
      </x:c>
      <x:c r="K12" s="14" t="str">
        <x:v>HISTORIQUE_CENI_2018_A_VALIDER</x:v>
      </x:c>
    </x:row>
    <x:row r="13">
      <x:c r="A13" s="14" t="n">
        <x:v>10</x:v>
      </x:c>
      <x:c r="B13" s="14" t="n">
        <x:v>61</x:v>
      </x:c>
      <x:c r="C13" s="14" t="str">
        <x:v>CHEFFERIE</x:v>
      </x:c>
      <x:c r="D13" s="14" t="str">
        <x:v>Mopoy</x:v>
      </x:c>
      <x:c r="E13" s="14"/>
      <x:c r="F13" s="14"/>
      <x:c r="G13" s="14"/>
      <x:c r="H13" s="14"/>
      <x:c r="I13" s="14" t="n">
        <x:v>2018</x:v>
      </x:c>
      <x:c r="J13" s="14" t="str">
        <x:v>S06</x:v>
      </x:c>
      <x:c r="K13" s="14" t="str">
        <x:v>HISTORIQUE_CENI_2018_A_VALIDER</x:v>
      </x:c>
    </x:row>
    <x:row r="14">
      <x:c r="A14" s="14" t="n">
        <x:v>11</x:v>
      </x:c>
      <x:c r="B14" s="14" t="n">
        <x:v>61</x:v>
      </x:c>
      <x:c r="C14" s="14" t="str">
        <x:v>CHEFFERIE</x:v>
      </x:c>
      <x:c r="D14" s="14" t="str">
        <x:v>Ngindo</x:v>
      </x:c>
      <x:c r="E14" s="14"/>
      <x:c r="F14" s="14"/>
      <x:c r="G14" s="14"/>
      <x:c r="H14" s="14"/>
      <x:c r="I14" s="14" t="n">
        <x:v>2018</x:v>
      </x:c>
      <x:c r="J14" s="14" t="str">
        <x:v>S06</x:v>
      </x:c>
      <x:c r="K14" s="14" t="str">
        <x:v>HISTORIQUE_CENI_2018_A_VALIDER</x:v>
      </x:c>
    </x:row>
    <x:row r="15">
      <x:c r="A15" s="14" t="n">
        <x:v>12</x:v>
      </x:c>
      <x:c r="B15" s="14" t="n">
        <x:v>61</x:v>
      </x:c>
      <x:c r="C15" s="14" t="str">
        <x:v>CHEFFERIE</x:v>
      </x:c>
      <x:c r="D15" s="14" t="str">
        <x:v>Sasa</x:v>
      </x:c>
      <x:c r="E15" s="14"/>
      <x:c r="F15" s="14"/>
      <x:c r="G15" s="14"/>
      <x:c r="H15" s="14"/>
      <x:c r="I15" s="14" t="n">
        <x:v>2018</x:v>
      </x:c>
      <x:c r="J15" s="14" t="str">
        <x:v>S06</x:v>
      </x:c>
      <x:c r="K15" s="14" t="str">
        <x:v>HISTORIQUE_CENI_2018_A_VALIDER</x:v>
      </x:c>
    </x:row>
    <x:row r="16">
      <x:c r="A16" s="14" t="n">
        <x:v>13</x:v>
      </x:c>
      <x:c r="B16" s="14" t="n">
        <x:v>72</x:v>
      </x:c>
      <x:c r="C16" s="14" t="str">
        <x:v>CHEFFERIE</x:v>
      </x:c>
      <x:c r="D16" s="14" t="str">
        <x:v>Aluru</x:v>
      </x:c>
      <x:c r="E16" s="14"/>
      <x:c r="F16" s="14"/>
      <x:c r="G16" s="14"/>
      <x:c r="H16" s="14"/>
      <x:c r="I16" s="14" t="n">
        <x:v>2018</x:v>
      </x:c>
      <x:c r="J16" s="14" t="str">
        <x:v>S06</x:v>
      </x:c>
      <x:c r="K16" s="14" t="str">
        <x:v>HISTORIQUE_CENI_2018_A_VALIDER</x:v>
      </x:c>
    </x:row>
    <x:row r="17">
      <x:c r="A17" s="14" t="n">
        <x:v>14</x:v>
      </x:c>
      <x:c r="B17" s="14" t="n">
        <x:v>72</x:v>
      </x:c>
      <x:c r="C17" s="14" t="str">
        <x:v>CHEFFERIE</x:v>
      </x:c>
      <x:c r="D17" s="14" t="str">
        <x:v>Kakwa</x:v>
      </x:c>
      <x:c r="E17" s="14"/>
      <x:c r="F17" s="14"/>
      <x:c r="G17" s="14"/>
      <x:c r="H17" s="14"/>
      <x:c r="I17" s="14" t="n">
        <x:v>2018</x:v>
      </x:c>
      <x:c r="J17" s="14" t="str">
        <x:v>S06</x:v>
      </x:c>
      <x:c r="K17" s="14" t="str">
        <x:v>HISTORIQUE_CENI_2018_A_VALIDER</x:v>
      </x:c>
    </x:row>
    <x:row r="18">
      <x:c r="A18" s="14" t="n">
        <x:v>15</x:v>
      </x:c>
      <x:c r="B18" s="14" t="n">
        <x:v>72</x:v>
      </x:c>
      <x:c r="C18" s="14" t="str">
        <x:v>CHEFFERIE</x:v>
      </x:c>
      <x:c r="D18" s="14" t="str">
        <x:v>Kaliko-Omi</x:v>
      </x:c>
      <x:c r="E18" s="14"/>
      <x:c r="F18" s="14"/>
      <x:c r="G18" s="14"/>
      <x:c r="H18" s="14"/>
      <x:c r="I18" s="14" t="n">
        <x:v>2018</x:v>
      </x:c>
      <x:c r="J18" s="14" t="str">
        <x:v>S06</x:v>
      </x:c>
      <x:c r="K18" s="14" t="str">
        <x:v>HISTORIQUE_CENI_2018_A_VALIDER</x:v>
      </x:c>
    </x:row>
    <x:row r="19">
      <x:c r="A19" s="14" t="n">
        <x:v>16</x:v>
      </x:c>
      <x:c r="B19" s="14" t="n">
        <x:v>72</x:v>
      </x:c>
      <x:c r="C19" s="14" t="str">
        <x:v>CHEFFERIE</x:v>
      </x:c>
      <x:c r="D19" s="14" t="str">
        <x:v>Lu</x:v>
      </x:c>
      <x:c r="E19" s="14"/>
      <x:c r="F19" s="14"/>
      <x:c r="G19" s="14"/>
      <x:c r="H19" s="14"/>
      <x:c r="I19" s="14" t="n">
        <x:v>2018</x:v>
      </x:c>
      <x:c r="J19" s="14" t="str">
        <x:v>S06</x:v>
      </x:c>
      <x:c r="K19" s="14" t="str">
        <x:v>HISTORIQUE_CENI_2018_A_VALIDER</x:v>
      </x:c>
    </x:row>
    <x:row r="20">
      <x:c r="A20" s="14" t="n">
        <x:v>17</x:v>
      </x:c>
      <x:c r="B20" s="14" t="n">
        <x:v>72</x:v>
      </x:c>
      <x:c r="C20" s="14" t="str">
        <x:v>CHEFFERIE</x:v>
      </x:c>
      <x:c r="D20" s="14" t="str">
        <x:v>Ndo-Okebo</x:v>
      </x:c>
      <x:c r="E20" s="14"/>
      <x:c r="F20" s="14"/>
      <x:c r="G20" s="14"/>
      <x:c r="H20" s="14"/>
      <x:c r="I20" s="14" t="n">
        <x:v>2018</x:v>
      </x:c>
      <x:c r="J20" s="14" t="str">
        <x:v>S06</x:v>
      </x:c>
      <x:c r="K20" s="14" t="str">
        <x:v>HISTORIQUE_CENI_2018_A_VALIDER</x:v>
      </x:c>
    </x:row>
    <x:row r="21">
      <x:c r="A21" s="14" t="n">
        <x:v>18</x:v>
      </x:c>
      <x:c r="B21" s="14" t="n">
        <x:v>72</x:v>
      </x:c>
      <x:c r="C21" s="14" t="str">
        <x:v>CHEFFERIE</x:v>
      </x:c>
      <x:c r="D21" s="14" t="str">
        <x:v>Nio-Kamule</x:v>
      </x:c>
      <x:c r="E21" s="14"/>
      <x:c r="F21" s="14"/>
      <x:c r="G21" s="14"/>
      <x:c r="H21" s="14"/>
      <x:c r="I21" s="14" t="n">
        <x:v>2018</x:v>
      </x:c>
      <x:c r="J21" s="14" t="str">
        <x:v>S06</x:v>
      </x:c>
      <x:c r="K21" s="14" t="str">
        <x:v>HISTORIQUE_CENI_2018_A_VALIDER</x:v>
      </x:c>
    </x:row>
    <x:row r="22">
      <x:c r="A22" s="14" t="n">
        <x:v>19</x:v>
      </x:c>
      <x:c r="B22" s="14" t="n">
        <x:v>72</x:v>
      </x:c>
      <x:c r="C22" s="14" t="str">
        <x:v>CHEFFERIE</x:v>
      </x:c>
      <x:c r="D22" s="14" t="str">
        <x:v>Otso</x:v>
      </x:c>
      <x:c r="E22" s="14"/>
      <x:c r="F22" s="14"/>
      <x:c r="G22" s="14"/>
      <x:c r="H22" s="14"/>
      <x:c r="I22" s="14" t="n">
        <x:v>2018</x:v>
      </x:c>
      <x:c r="J22" s="14" t="str">
        <x:v>S06</x:v>
      </x:c>
      <x:c r="K22" s="14" t="str">
        <x:v>HISTORIQUE_CENI_2018_A_VALIDER</x:v>
      </x:c>
    </x:row>
    <x:row r="23">
      <x:c r="A23" s="14" t="n">
        <x:v>20</x:v>
      </x:c>
      <x:c r="B23" s="14" t="n">
        <x:v>72</x:v>
      </x:c>
      <x:c r="C23" s="14" t="str">
        <x:v>CHEFFERIE</x:v>
      </x:c>
      <x:c r="D23" s="14" t="str">
        <x:v>Zaki</x:v>
      </x:c>
      <x:c r="E23" s="14"/>
      <x:c r="F23" s="14"/>
      <x:c r="G23" s="14"/>
      <x:c r="H23" s="14"/>
      <x:c r="I23" s="14" t="n">
        <x:v>2018</x:v>
      </x:c>
      <x:c r="J23" s="14" t="str">
        <x:v>S06</x:v>
      </x:c>
      <x:c r="K23" s="14" t="str">
        <x:v>HISTORIQUE_CENI_2018_A_VALIDER</x:v>
      </x:c>
    </x:row>
    <x:row r="24">
      <x:c r="A24" s="14" t="n">
        <x:v>21</x:v>
      </x:c>
      <x:c r="B24" s="14" t="n">
        <x:v>53</x:v>
      </x:c>
      <x:c r="C24" s="14" t="str">
        <x:v>SECTEUR</x:v>
      </x:c>
      <x:c r="D24" s="14" t="str">
        <x:v>Bafwandaka</x:v>
      </x:c>
      <x:c r="E24" s="14"/>
      <x:c r="F24" s="14"/>
      <x:c r="G24" s="14"/>
      <x:c r="H24" s="14"/>
      <x:c r="I24" s="14" t="n">
        <x:v>2018</x:v>
      </x:c>
      <x:c r="J24" s="14" t="str">
        <x:v>S06</x:v>
      </x:c>
      <x:c r="K24" s="14" t="str">
        <x:v>HISTORIQUE_CENI_2018_A_VALIDER</x:v>
      </x:c>
    </x:row>
    <x:row r="25">
      <x:c r="A25" s="14" t="n">
        <x:v>22</x:v>
      </x:c>
      <x:c r="B25" s="14" t="n">
        <x:v>53</x:v>
      </x:c>
      <x:c r="C25" s="14" t="str">
        <x:v>SECTEUR</x:v>
      </x:c>
      <x:c r="D25" s="14" t="str">
        <x:v>Bakumu d'Angumu</x:v>
      </x:c>
      <x:c r="E25" s="14"/>
      <x:c r="F25" s="14"/>
      <x:c r="G25" s="14"/>
      <x:c r="H25" s="14"/>
      <x:c r="I25" s="14" t="n">
        <x:v>2018</x:v>
      </x:c>
      <x:c r="J25" s="14" t="str">
        <x:v>S06</x:v>
      </x:c>
      <x:c r="K25" s="14" t="str">
        <x:v>HISTORIQUE_CENI_2018_A_VALIDER</x:v>
      </x:c>
    </x:row>
    <x:row r="26">
      <x:c r="A26" s="14" t="n">
        <x:v>23</x:v>
      </x:c>
      <x:c r="B26" s="14" t="n">
        <x:v>53</x:v>
      </x:c>
      <x:c r="C26" s="14" t="str">
        <x:v>SECTEUR</x:v>
      </x:c>
      <x:c r="D26" s="14" t="str">
        <x:v>Bakundumu</x:v>
      </x:c>
      <x:c r="E26" s="14"/>
      <x:c r="F26" s="14"/>
      <x:c r="G26" s="14"/>
      <x:c r="H26" s="14"/>
      <x:c r="I26" s="14" t="n">
        <x:v>2018</x:v>
      </x:c>
      <x:c r="J26" s="14" t="str">
        <x:v>S06</x:v>
      </x:c>
      <x:c r="K26" s="14" t="str">
        <x:v>HISTORIQUE_CENI_2018_A_VALIDER</x:v>
      </x:c>
    </x:row>
    <x:row r="27">
      <x:c r="A27" s="14" t="n">
        <x:v>24</x:v>
      </x:c>
      <x:c r="B27" s="14" t="n">
        <x:v>53</x:v>
      </x:c>
      <x:c r="C27" s="14" t="str">
        <x:v>SECTEUR</x:v>
      </x:c>
      <x:c r="D27" s="14" t="str">
        <x:v>Barumbi-Opienge</x:v>
      </x:c>
      <x:c r="E27" s="14"/>
      <x:c r="F27" s="14"/>
      <x:c r="G27" s="14"/>
      <x:c r="H27" s="14"/>
      <x:c r="I27" s="14" t="n">
        <x:v>2018</x:v>
      </x:c>
      <x:c r="J27" s="14" t="str">
        <x:v>S06</x:v>
      </x:c>
      <x:c r="K27" s="14" t="str">
        <x:v>HISTORIQUE_CENI_2018_A_VALIDER</x:v>
      </x:c>
    </x:row>
    <x:row r="28">
      <x:c r="A28" s="14" t="n">
        <x:v>25</x:v>
      </x:c>
      <x:c r="B28" s="14" t="n">
        <x:v>53</x:v>
      </x:c>
      <x:c r="C28" s="14" t="str">
        <x:v>SECTEUR</x:v>
      </x:c>
      <x:c r="D28" s="14" t="str">
        <x:v>Bekeni-Kondolole</x:v>
      </x:c>
      <x:c r="E28" s="14"/>
      <x:c r="F28" s="14"/>
      <x:c r="G28" s="14"/>
      <x:c r="H28" s="14"/>
      <x:c r="I28" s="14" t="n">
        <x:v>2018</x:v>
      </x:c>
      <x:c r="J28" s="14" t="str">
        <x:v>S06</x:v>
      </x:c>
      <x:c r="K28" s="14" t="str">
        <x:v>HISTORIQUE_CENI_2018_A_VALIDER</x:v>
      </x:c>
    </x:row>
    <x:row r="29">
      <x:c r="A29" s="14" t="n">
        <x:v>26</x:v>
      </x:c>
      <x:c r="B29" s="14" t="n">
        <x:v>53</x:v>
      </x:c>
      <x:c r="C29" s="14" t="str">
        <x:v>SECTEUR</x:v>
      </x:c>
      <x:c r="D29" s="14" t="str">
        <x:v>Bemili</x:v>
      </x:c>
      <x:c r="E29" s="14"/>
      <x:c r="F29" s="14"/>
      <x:c r="G29" s="14"/>
      <x:c r="H29" s="14"/>
      <x:c r="I29" s="14" t="n">
        <x:v>2018</x:v>
      </x:c>
      <x:c r="J29" s="14" t="str">
        <x:v>S06</x:v>
      </x:c>
      <x:c r="K29" s="14" t="str">
        <x:v>HISTORIQUE_CENI_2018_A_VALIDER</x:v>
      </x:c>
    </x:row>
    <x:row r="30">
      <x:c r="A30" s="14" t="n">
        <x:v>27</x:v>
      </x:c>
      <x:c r="B30" s="14" t="n">
        <x:v>16</x:v>
      </x:c>
      <x:c r="C30" s="14" t="str">
        <x:v>SECTEUR</x:v>
      </x:c>
      <x:c r="D30" s="14" t="str">
        <x:v>Kidzweme</x:v>
      </x:c>
      <x:c r="E30" s="14"/>
      <x:c r="F30" s="14"/>
      <x:c r="G30" s="14"/>
      <x:c r="H30" s="14"/>
      <x:c r="I30" s="14" t="n">
        <x:v>2018</x:v>
      </x:c>
      <x:c r="J30" s="14" t="str">
        <x:v>S06</x:v>
      </x:c>
      <x:c r="K30" s="14" t="str">
        <x:v>HISTORIQUE_CENI_2018_A_VALIDER</x:v>
      </x:c>
    </x:row>
    <x:row r="31">
      <x:c r="A31" s="14" t="n">
        <x:v>28</x:v>
      </x:c>
      <x:c r="B31" s="14" t="n">
        <x:v>16</x:v>
      </x:c>
      <x:c r="C31" s="14" t="str">
        <x:v>SECTEUR</x:v>
      </x:c>
      <x:c r="D31" s="14" t="str">
        <x:v>Kwango-Kasai</x:v>
      </x:c>
      <x:c r="E31" s="14"/>
      <x:c r="F31" s="14"/>
      <x:c r="G31" s="14"/>
      <x:c r="H31" s="14"/>
      <x:c r="I31" s="14" t="n">
        <x:v>2018</x:v>
      </x:c>
      <x:c r="J31" s="14" t="str">
        <x:v>S06</x:v>
      </x:c>
      <x:c r="K31" s="14" t="str">
        <x:v>HISTORIQUE_CENI_2018_A_VALIDER</x:v>
      </x:c>
    </x:row>
    <x:row r="32">
      <x:c r="A32" s="14" t="n">
        <x:v>29</x:v>
      </x:c>
      <x:c r="B32" s="14" t="n">
        <x:v>16</x:v>
      </x:c>
      <x:c r="C32" s="14" t="str">
        <x:v>SECTEUR</x:v>
      </x:c>
      <x:c r="D32" s="14" t="str">
        <x:v>Kwilu-Ntobere</x:v>
      </x:c>
      <x:c r="E32" s="14"/>
      <x:c r="F32" s="14"/>
      <x:c r="G32" s="14"/>
      <x:c r="H32" s="14"/>
      <x:c r="I32" s="14" t="n">
        <x:v>2018</x:v>
      </x:c>
      <x:c r="J32" s="14" t="str">
        <x:v>S06</x:v>
      </x:c>
      <x:c r="K32" s="14" t="str">
        <x:v>HISTORIQUE_CENI_2018_A_VALIDER</x:v>
      </x:c>
    </x:row>
    <x:row r="33">
      <x:c r="A33" s="14" t="n">
        <x:v>30</x:v>
      </x:c>
      <x:c r="B33" s="14" t="n">
        <x:v>16</x:v>
      </x:c>
      <x:c r="C33" s="14" t="str">
        <x:v>SECTEUR</x:v>
      </x:c>
      <x:c r="D33" s="14" t="str">
        <x:v>Manzasay</x:v>
      </x:c>
      <x:c r="E33" s="14"/>
      <x:c r="F33" s="14"/>
      <x:c r="G33" s="14"/>
      <x:c r="H33" s="14"/>
      <x:c r="I33" s="14" t="n">
        <x:v>2018</x:v>
      </x:c>
      <x:c r="J33" s="14" t="str">
        <x:v>S06</x:v>
      </x:c>
      <x:c r="K33" s="14" t="str">
        <x:v>HISTORIQUE_CENI_2018_A_VALIDER</x:v>
      </x:c>
    </x:row>
    <x:row r="34">
      <x:c r="A34" s="14" t="n">
        <x:v>31</x:v>
      </x:c>
      <x:c r="B34" s="14" t="n">
        <x:v>16</x:v>
      </x:c>
      <x:c r="C34" s="14" t="str">
        <x:v>SECTEUR</x:v>
      </x:c>
      <x:c r="D34" s="14" t="str">
        <x:v>Wamba-Fatundu</x:v>
      </x:c>
      <x:c r="E34" s="14"/>
      <x:c r="F34" s="14"/>
      <x:c r="G34" s="14"/>
      <x:c r="H34" s="14"/>
      <x:c r="I34" s="14" t="n">
        <x:v>2018</x:v>
      </x:c>
      <x:c r="J34" s="14" t="str">
        <x:v>S06</x:v>
      </x:c>
      <x:c r="K34" s="14" t="str">
        <x:v>HISTORIQUE_CENI_2018_A_VALIDER</x:v>
      </x:c>
    </x:row>
    <x:row r="35">
      <x:c r="A35" s="14" t="n">
        <x:v>32</x:v>
      </x:c>
      <x:c r="B35" s="14" t="n">
        <x:v>62</x:v>
      </x:c>
      <x:c r="C35" s="14" t="str">
        <x:v>CHEFFERIE</x:v>
      </x:c>
      <x:c r="D35" s="14" t="str">
        <x:v>Bakere Bakete</x:v>
      </x:c>
      <x:c r="E35" s="14"/>
      <x:c r="F35" s="14"/>
      <x:c r="G35" s="14"/>
      <x:c r="H35" s="14"/>
      <x:c r="I35" s="14" t="n">
        <x:v>2018</x:v>
      </x:c>
      <x:c r="J35" s="14" t="str">
        <x:v>S06</x:v>
      </x:c>
      <x:c r="K35" s="14" t="str">
        <x:v>HISTORIQUE_CENI_2018_A_VALIDER</x:v>
      </x:c>
    </x:row>
    <x:row r="36">
      <x:c r="A36" s="14" t="n">
        <x:v>33</x:v>
      </x:c>
      <x:c r="B36" s="14" t="n">
        <x:v>62</x:v>
      </x:c>
      <x:c r="C36" s="14" t="str">
        <x:v>CHEFFERIE</x:v>
      </x:c>
      <x:c r="D36" s="14" t="str">
        <x:v>Bokapo</x:v>
      </x:c>
      <x:c r="E36" s="14"/>
      <x:c r="F36" s="14"/>
      <x:c r="G36" s="14"/>
      <x:c r="H36" s="14"/>
      <x:c r="I36" s="14" t="n">
        <x:v>2018</x:v>
      </x:c>
      <x:c r="J36" s="14" t="str">
        <x:v>S06</x:v>
      </x:c>
      <x:c r="K36" s="14" t="str">
        <x:v>HISTORIQUE_CENI_2018_A_VALIDER</x:v>
      </x:c>
    </x:row>
    <x:row r="37">
      <x:c r="A37" s="14" t="n">
        <x:v>34</x:v>
      </x:c>
      <x:c r="B37" s="14" t="n">
        <x:v>62</x:v>
      </x:c>
      <x:c r="C37" s="14" t="str">
        <x:v>CHEFFERIE</x:v>
      </x:c>
      <x:c r="D37" s="14" t="str">
        <x:v>Bokiba</x:v>
      </x:c>
      <x:c r="E37" s="14"/>
      <x:c r="F37" s="14"/>
      <x:c r="G37" s="14"/>
      <x:c r="H37" s="14"/>
      <x:c r="I37" s="14" t="n">
        <x:v>2018</x:v>
      </x:c>
      <x:c r="J37" s="14" t="str">
        <x:v>S06</x:v>
      </x:c>
      <x:c r="K37" s="14" t="str">
        <x:v>HISTORIQUE_CENI_2018_A_VALIDER</x:v>
      </x:c>
    </x:row>
    <x:row r="38">
      <x:c r="A38" s="14" t="n">
        <x:v>35</x:v>
      </x:c>
      <x:c r="B38" s="14" t="n">
        <x:v>62</x:v>
      </x:c>
      <x:c r="C38" s="14" t="str">
        <x:v>CHEFFERIE</x:v>
      </x:c>
      <x:c r="D38" s="14" t="str">
        <x:v>Bulungwa</x:v>
      </x:c>
      <x:c r="E38" s="14"/>
      <x:c r="F38" s="14"/>
      <x:c r="G38" s="14"/>
      <x:c r="H38" s="14"/>
      <x:c r="I38" s="14" t="n">
        <x:v>2018</x:v>
      </x:c>
      <x:c r="J38" s="14" t="str">
        <x:v>S06</x:v>
      </x:c>
      <x:c r="K38" s="14" t="str">
        <x:v>HISTORIQUE_CENI_2018_A_VALIDER</x:v>
      </x:c>
    </x:row>
    <x:row r="39">
      <x:c r="A39" s="14" t="n">
        <x:v>36</x:v>
      </x:c>
      <x:c r="B39" s="14" t="n">
        <x:v>62</x:v>
      </x:c>
      <x:c r="C39" s="14" t="str">
        <x:v>CHEFFERIE</x:v>
      </x:c>
      <x:c r="D39" s="14" t="str">
        <x:v>Makere I</x:v>
      </x:c>
      <x:c r="E39" s="14"/>
      <x:c r="F39" s="14"/>
      <x:c r="G39" s="14"/>
      <x:c r="H39" s="14"/>
      <x:c r="I39" s="14" t="n">
        <x:v>2018</x:v>
      </x:c>
      <x:c r="J39" s="14" t="str">
        <x:v>S06</x:v>
      </x:c>
      <x:c r="K39" s="14" t="str">
        <x:v>HISTORIQUE_CENI_2018_A_VALIDER</x:v>
      </x:c>
    </x:row>
    <x:row r="40">
      <x:c r="A40" s="14" t="n">
        <x:v>37</x:v>
      </x:c>
      <x:c r="B40" s="14" t="n">
        <x:v>62</x:v>
      </x:c>
      <x:c r="C40" s="14" t="str">
        <x:v>CHEFFERIE</x:v>
      </x:c>
      <x:c r="D40" s="14" t="str">
        <x:v>Makere II</x:v>
      </x:c>
      <x:c r="E40" s="14"/>
      <x:c r="F40" s="14"/>
      <x:c r="G40" s="14"/>
      <x:c r="H40" s="14"/>
      <x:c r="I40" s="14" t="n">
        <x:v>2018</x:v>
      </x:c>
      <x:c r="J40" s="14" t="str">
        <x:v>S06</x:v>
      </x:c>
      <x:c r="K40" s="14" t="str">
        <x:v>HISTORIQUE_CENI_2018_A_VALIDER</x:v>
      </x:c>
    </x:row>
    <x:row r="41">
      <x:c r="A41" s="14" t="n">
        <x:v>38</x:v>
      </x:c>
      <x:c r="B41" s="14" t="n">
        <x:v>62</x:v>
      </x:c>
      <x:c r="C41" s="14" t="str">
        <x:v>CHEFFERIE</x:v>
      </x:c>
      <x:c r="D41" s="14" t="str">
        <x:v>Makere-Bakeke</x:v>
      </x:c>
      <x:c r="E41" s="14"/>
      <x:c r="F41" s="14"/>
      <x:c r="G41" s="14"/>
      <x:c r="H41" s="14"/>
      <x:c r="I41" s="14" t="n">
        <x:v>2018</x:v>
      </x:c>
      <x:c r="J41" s="14" t="str">
        <x:v>S06</x:v>
      </x:c>
      <x:c r="K41" s="14" t="str">
        <x:v>HISTORIQUE_CENI_2018_A_VALIDER</x:v>
      </x:c>
    </x:row>
    <x:row r="42">
      <x:c r="A42" s="14" t="n">
        <x:v>39</x:v>
      </x:c>
      <x:c r="B42" s="14" t="n">
        <x:v>62</x:v>
      </x:c>
      <x:c r="C42" s="14" t="str">
        <x:v>CHEFFERIE</x:v>
      </x:c>
      <x:c r="D42" s="14" t="str">
        <x:v>Mange</x:v>
      </x:c>
      <x:c r="E42" s="14"/>
      <x:c r="F42" s="14"/>
      <x:c r="G42" s="14"/>
      <x:c r="H42" s="14"/>
      <x:c r="I42" s="14" t="n">
        <x:v>2018</x:v>
      </x:c>
      <x:c r="J42" s="14" t="str">
        <x:v>S06</x:v>
      </x:c>
      <x:c r="K42" s="14" t="str">
        <x:v>HISTORIQUE_CENI_2018_A_VALIDER</x:v>
      </x:c>
    </x:row>
    <x:row r="43">
      <x:c r="A43" s="14" t="n">
        <x:v>40</x:v>
      </x:c>
      <x:c r="B43" s="14" t="n">
        <x:v>62</x:v>
      </x:c>
      <x:c r="C43" s="14" t="str">
        <x:v>CHEFFERIE</x:v>
      </x:c>
      <x:c r="D43" s="14" t="str">
        <x:v>Mondwangali</x:v>
      </x:c>
      <x:c r="E43" s="14"/>
      <x:c r="F43" s="14"/>
      <x:c r="G43" s="14"/>
      <x:c r="H43" s="14"/>
      <x:c r="I43" s="14" t="n">
        <x:v>2018</x:v>
      </x:c>
      <x:c r="J43" s="14" t="str">
        <x:v>S06</x:v>
      </x:c>
      <x:c r="K43" s="14" t="str">
        <x:v>HISTORIQUE_CENI_2018_A_VALIDER</x:v>
      </x:c>
    </x:row>
    <x:row r="44">
      <x:c r="A44" s="14" t="n">
        <x:v>41</x:v>
      </x:c>
      <x:c r="B44" s="14" t="n">
        <x:v>54</x:v>
      </x:c>
      <x:c r="C44" s="14" t="str">
        <x:v>SECTEUR</x:v>
      </x:c>
      <x:c r="D44" s="14" t="str">
        <x:v>Baboa de Kole</x:v>
      </x:c>
      <x:c r="E44" s="14"/>
      <x:c r="F44" s="14"/>
      <x:c r="G44" s="14"/>
      <x:c r="H44" s="14"/>
      <x:c r="I44" s="14" t="n">
        <x:v>2018</x:v>
      </x:c>
      <x:c r="J44" s="14" t="str">
        <x:v>S06</x:v>
      </x:c>
      <x:c r="K44" s="14" t="str">
        <x:v>HISTORIQUE_CENI_2018_A_VALIDER</x:v>
      </x:c>
    </x:row>
    <x:row r="45">
      <x:c r="A45" s="14" t="n">
        <x:v>42</x:v>
      </x:c>
      <x:c r="B45" s="14" t="n">
        <x:v>54</x:v>
      </x:c>
      <x:c r="C45" s="14" t="str">
        <x:v>SECTEUR</x:v>
      </x:c>
      <x:c r="D45" s="14" t="str">
        <x:v>Baboro</x:v>
      </x:c>
      <x:c r="E45" s="14"/>
      <x:c r="F45" s="14"/>
      <x:c r="G45" s="14"/>
      <x:c r="H45" s="14"/>
      <x:c r="I45" s="14" t="n">
        <x:v>2018</x:v>
      </x:c>
      <x:c r="J45" s="14" t="str">
        <x:v>S06</x:v>
      </x:c>
      <x:c r="K45" s="14" t="str">
        <x:v>HISTORIQUE_CENI_2018_A_VALIDER</x:v>
      </x:c>
    </x:row>
    <x:row r="46">
      <x:c r="A46" s="14" t="n">
        <x:v>43</x:v>
      </x:c>
      <x:c r="B46" s="14" t="n">
        <x:v>54</x:v>
      </x:c>
      <x:c r="C46" s="14" t="str">
        <x:v>SECTEUR</x:v>
      </x:c>
      <x:c r="D46" s="14" t="str">
        <x:v>Bamanga</x:v>
      </x:c>
      <x:c r="E46" s="14"/>
      <x:c r="F46" s="14"/>
      <x:c r="G46" s="14"/>
      <x:c r="H46" s="14"/>
      <x:c r="I46" s="14" t="n">
        <x:v>2018</x:v>
      </x:c>
      <x:c r="J46" s="14" t="str">
        <x:v>S06</x:v>
      </x:c>
      <x:c r="K46" s="14" t="str">
        <x:v>HISTORIQUE_CENI_2018_A_VALIDER</x:v>
      </x:c>
    </x:row>
    <x:row r="47">
      <x:c r="A47" s="14" t="n">
        <x:v>44</x:v>
      </x:c>
      <x:c r="B47" s="14" t="n">
        <x:v>54</x:v>
      </x:c>
      <x:c r="C47" s="14" t="str">
        <x:v>SECTEUR</x:v>
      </x:c>
      <x:c r="D47" s="14" t="str">
        <x:v>Banalia Bangba</x:v>
      </x:c>
      <x:c r="E47" s="14"/>
      <x:c r="F47" s="14"/>
      <x:c r="G47" s="14"/>
      <x:c r="H47" s="14"/>
      <x:c r="I47" s="14" t="n">
        <x:v>2018</x:v>
      </x:c>
      <x:c r="J47" s="14" t="str">
        <x:v>S06</x:v>
      </x:c>
      <x:c r="K47" s="14" t="str">
        <x:v>HISTORIQUE_CENI_2018_A_VALIDER</x:v>
      </x:c>
    </x:row>
    <x:row r="48">
      <x:c r="A48" s="14" t="n">
        <x:v>45</x:v>
      </x:c>
      <x:c r="B48" s="14" t="n">
        <x:v>54</x:v>
      </x:c>
      <x:c r="C48" s="14" t="str">
        <x:v>SECTEUR</x:v>
      </x:c>
      <x:c r="D48" s="14" t="str">
        <x:v>Popoy</x:v>
      </x:c>
      <x:c r="E48" s="14"/>
      <x:c r="F48" s="14"/>
      <x:c r="G48" s="14"/>
      <x:c r="H48" s="14"/>
      <x:c r="I48" s="14" t="n">
        <x:v>2018</x:v>
      </x:c>
      <x:c r="J48" s="14" t="str">
        <x:v>S06</x:v>
      </x:c>
      <x:c r="K48" s="14" t="str">
        <x:v>HISTORIQUE_CENI_2018_A_VALIDER</x:v>
      </x:c>
    </x:row>
    <x:row r="49">
      <x:c r="A49" s="14" t="n">
        <x:v>46</x:v>
      </x:c>
      <x:c r="B49" s="14" t="n">
        <x:v>29</x:v>
      </x:c>
      <x:c r="C49" s="14" t="str">
        <x:v>SECTEUR</x:v>
      </x:c>
      <x:c r="D49" s="14" t="str">
        <x:v>Basankusu</x:v>
      </x:c>
      <x:c r="E49" s="14"/>
      <x:c r="F49" s="14"/>
      <x:c r="G49" s="14"/>
      <x:c r="H49" s="14"/>
      <x:c r="I49" s="14" t="n">
        <x:v>2018</x:v>
      </x:c>
      <x:c r="J49" s="14" t="str">
        <x:v>S06</x:v>
      </x:c>
      <x:c r="K49" s="14" t="str">
        <x:v>HISTORIQUE_CENI_2018_A_VALIDER</x:v>
      </x:c>
    </x:row>
    <x:row r="50">
      <x:c r="A50" s="14" t="n">
        <x:v>47</x:v>
      </x:c>
      <x:c r="B50" s="14" t="n">
        <x:v>29</x:v>
      </x:c>
      <x:c r="C50" s="14" t="str">
        <x:v>SECTEUR</x:v>
      </x:c>
      <x:c r="D50" s="14" t="str">
        <x:v>Gombalo</x:v>
      </x:c>
      <x:c r="E50" s="14"/>
      <x:c r="F50" s="14"/>
      <x:c r="G50" s="14"/>
      <x:c r="H50" s="14"/>
      <x:c r="I50" s="14" t="n">
        <x:v>2018</x:v>
      </x:c>
      <x:c r="J50" s="14" t="str">
        <x:v>S06</x:v>
      </x:c>
      <x:c r="K50" s="14" t="str">
        <x:v>HISTORIQUE_CENI_2018_A_VALIDER</x:v>
      </x:c>
    </x:row>
    <x:row r="51">
      <x:c r="A51" s="14" t="n">
        <x:v>48</x:v>
      </x:c>
      <x:c r="B51" s="14" t="n">
        <x:v>29</x:v>
      </x:c>
      <x:c r="C51" s="14" t="str">
        <x:v>SECTEUR</x:v>
      </x:c>
      <x:c r="D51" s="14" t="str">
        <x:v>Waka-Bokeka</x:v>
      </x:c>
      <x:c r="E51" s="14"/>
      <x:c r="F51" s="14"/>
      <x:c r="G51" s="14"/>
      <x:c r="H51" s="14"/>
      <x:c r="I51" s="14" t="n">
        <x:v>2018</x:v>
      </x:c>
      <x:c r="J51" s="14" t="str">
        <x:v>S06</x:v>
      </x:c>
      <x:c r="K51" s="14" t="str">
        <x:v>HISTORIQUE_CENI_2018_A_VALIDER</x:v>
      </x:c>
    </x:row>
    <x:row r="52">
      <x:c r="A52" s="14" t="n">
        <x:v>49</x:v>
      </x:c>
      <x:c r="B52" s="14" t="n">
        <x:v>55</x:v>
      </x:c>
      <x:c r="C52" s="14" t="str">
        <x:v>SECTEUR</x:v>
      </x:c>
      <x:c r="D52" s="14" t="str">
        <x:v>Bangelema-Mongandjo</x:v>
      </x:c>
      <x:c r="E52" s="14"/>
      <x:c r="F52" s="14"/>
      <x:c r="G52" s="14"/>
      <x:c r="H52" s="14"/>
      <x:c r="I52" s="14" t="n">
        <x:v>2018</x:v>
      </x:c>
      <x:c r="J52" s="14" t="str">
        <x:v>S06</x:v>
      </x:c>
      <x:c r="K52" s="14" t="str">
        <x:v>HISTORIQUE_CENI_2018_A_VALIDER</x:v>
      </x:c>
    </x:row>
    <x:row r="53">
      <x:c r="A53" s="14" t="n">
        <x:v>50</x:v>
      </x:c>
      <x:c r="B53" s="14" t="n">
        <x:v>55</x:v>
      </x:c>
      <x:c r="C53" s="14" t="str">
        <x:v>SECTEUR</x:v>
      </x:c>
      <x:c r="D53" s="14" t="str">
        <x:v>Bomenge</x:v>
      </x:c>
      <x:c r="E53" s="14"/>
      <x:c r="F53" s="14"/>
      <x:c r="G53" s="14"/>
      <x:c r="H53" s="14"/>
      <x:c r="I53" s="14" t="n">
        <x:v>2018</x:v>
      </x:c>
      <x:c r="J53" s="14" t="str">
        <x:v>S06</x:v>
      </x:c>
      <x:c r="K53" s="14" t="str">
        <x:v>HISTORIQUE_CENI_2018_A_VALIDER</x:v>
      </x:c>
    </x:row>
    <x:row r="54">
      <x:c r="A54" s="14" t="n">
        <x:v>51</x:v>
      </x:c>
      <x:c r="B54" s="14" t="n">
        <x:v>55</x:v>
      </x:c>
      <x:c r="C54" s="14" t="str">
        <x:v>SECTEUR</x:v>
      </x:c>
      <x:c r="D54" s="14" t="str">
        <x:v>Lukutu</x:v>
      </x:c>
      <x:c r="E54" s="14"/>
      <x:c r="F54" s="14"/>
      <x:c r="G54" s="14"/>
      <x:c r="H54" s="14"/>
      <x:c r="I54" s="14" t="n">
        <x:v>2018</x:v>
      </x:c>
      <x:c r="J54" s="14" t="str">
        <x:v>S06</x:v>
      </x:c>
      <x:c r="K54" s="14" t="str">
        <x:v>HISTORIQUE_CENI_2018_A_VALIDER</x:v>
      </x:c>
    </x:row>
    <x:row r="55">
      <x:c r="A55" s="14" t="n">
        <x:v>52</x:v>
      </x:c>
      <x:c r="B55" s="14" t="n">
        <x:v>55</x:v>
      </x:c>
      <x:c r="C55" s="14" t="str">
        <x:v>SECTEUR</x:v>
      </x:c>
      <x:c r="D55" s="14" t="str">
        <x:v>Mobango-Itimbiri</x:v>
      </x:c>
      <x:c r="E55" s="14"/>
      <x:c r="F55" s="14"/>
      <x:c r="G55" s="14"/>
      <x:c r="H55" s="14"/>
      <x:c r="I55" s="14" t="n">
        <x:v>2018</x:v>
      </x:c>
      <x:c r="J55" s="14" t="str">
        <x:v>S06</x:v>
      </x:c>
      <x:c r="K55" s="14" t="str">
        <x:v>HISTORIQUE_CENI_2018_A_VALIDER</x:v>
      </x:c>
    </x:row>
    <x:row r="56">
      <x:c r="A56" s="14" t="n">
        <x:v>53</x:v>
      </x:c>
      <x:c r="B56" s="14" t="n">
        <x:v>55</x:v>
      </x:c>
      <x:c r="C56" s="14" t="str">
        <x:v>SECTEUR</x:v>
      </x:c>
      <x:c r="D56" s="14" t="str">
        <x:v>Turumbu</x:v>
      </x:c>
      <x:c r="E56" s="14"/>
      <x:c r="F56" s="14"/>
      <x:c r="G56" s="14"/>
      <x:c r="H56" s="14"/>
      <x:c r="I56" s="14" t="n">
        <x:v>2018</x:v>
      </x:c>
      <x:c r="J56" s="14" t="str">
        <x:v>S06</x:v>
      </x:c>
      <x:c r="K56" s="14" t="str">
        <x:v>HISTORIQUE_CENI_2018_A_VALIDER</x:v>
      </x:c>
    </x:row>
    <x:row r="57">
      <x:c r="A57" s="14" t="n">
        <x:v>54</x:v>
      </x:c>
      <x:c r="B57" s="14" t="n">
        <x:v>55</x:v>
      </x:c>
      <x:c r="C57" s="14" t="str">
        <x:v>CHEFFERIE</x:v>
      </x:c>
      <x:c r="D57" s="14" t="str">
        <x:v>Yaliwasa</x:v>
      </x:c>
      <x:c r="E57" s="14"/>
      <x:c r="F57" s="14"/>
      <x:c r="G57" s="14"/>
      <x:c r="H57" s="14"/>
      <x:c r="I57" s="14" t="n">
        <x:v>2018</x:v>
      </x:c>
      <x:c r="J57" s="14" t="str">
        <x:v>S06</x:v>
      </x:c>
      <x:c r="K57" s="14" t="str">
        <x:v>HISTORIQUE_CENI_2018_A_VALIDER</x:v>
      </x:c>
    </x:row>
    <x:row r="58">
      <x:c r="A58" s="14" t="n">
        <x:v>55</x:v>
      </x:c>
      <x:c r="B58" s="14" t="n">
        <x:v>55</x:v>
      </x:c>
      <x:c r="C58" s="14" t="str">
        <x:v>CHEFFERIE</x:v>
      </x:c>
      <x:c r="D58" s="14" t="str">
        <x:v>Yamandundu</x:v>
      </x:c>
      <x:c r="E58" s="14"/>
      <x:c r="F58" s="14"/>
      <x:c r="G58" s="14"/>
      <x:c r="H58" s="14"/>
      <x:c r="I58" s="14" t="n">
        <x:v>2018</x:v>
      </x:c>
      <x:c r="J58" s="14" t="str">
        <x:v>S06</x:v>
      </x:c>
      <x:c r="K58" s="14" t="str">
        <x:v>HISTORIQUE_CENI_2018_A_VALIDER</x:v>
      </x:c>
    </x:row>
    <x:row r="59">
      <x:c r="A59" s="14" t="n">
        <x:v>56</x:v>
      </x:c>
      <x:c r="B59" s="14" t="n">
        <x:v>55</x:v>
      </x:c>
      <x:c r="C59" s="14" t="str">
        <x:v>CHEFFERIE</x:v>
      </x:c>
      <x:c r="D59" s="14" t="str">
        <x:v>Wahanga</x:v>
      </x:c>
      <x:c r="E59" s="14"/>
      <x:c r="F59" s="14"/>
      <x:c r="G59" s="14"/>
      <x:c r="H59" s="14"/>
      <x:c r="I59" s="14" t="n">
        <x:v>2018</x:v>
      </x:c>
      <x:c r="J59" s="14" t="str">
        <x:v>S06</x:v>
      </x:c>
      <x:c r="K59" s="14" t="str">
        <x:v>HISTORIQUE_CENI_2018_A_VALIDER</x:v>
      </x:c>
    </x:row>
    <x:row r="60">
      <x:c r="A60" s="14" t="n">
        <x:v>57</x:v>
      </x:c>
      <x:c r="B60" s="14" t="n">
        <x:v>47</x:v>
      </x:c>
      <x:c r="C60" s="14" t="str">
        <x:v>SECTEUR</x:v>
      </x:c>
      <x:c r="D60" s="14" t="str">
        <x:v>Befumbo</x:v>
      </x:c>
      <x:c r="E60" s="14"/>
      <x:c r="F60" s="14"/>
      <x:c r="G60" s="14"/>
      <x:c r="H60" s="14"/>
      <x:c r="I60" s="14" t="n">
        <x:v>2018</x:v>
      </x:c>
      <x:c r="J60" s="14" t="str">
        <x:v>S06</x:v>
      </x:c>
      <x:c r="K60" s="14" t="str">
        <x:v>HISTORIQUE_CENI_2018_A_VALIDER</x:v>
      </x:c>
    </x:row>
    <x:row r="61">
      <x:c r="A61" s="14" t="n">
        <x:v>58</x:v>
      </x:c>
      <x:c r="B61" s="14" t="n">
        <x:v>47</x:v>
      </x:c>
      <x:c r="C61" s="14" t="str">
        <x:v>SECTEUR</x:v>
      </x:c>
      <x:c r="D61" s="14" t="str">
        <x:v>Duale</x:v>
      </x:c>
      <x:c r="E61" s="14"/>
      <x:c r="F61" s="14"/>
      <x:c r="G61" s="14"/>
      <x:c r="H61" s="14"/>
      <x:c r="I61" s="14" t="n">
        <x:v>2018</x:v>
      </x:c>
      <x:c r="J61" s="14" t="str">
        <x:v>S06</x:v>
      </x:c>
      <x:c r="K61" s="14" t="str">
        <x:v>HISTORIQUE_CENI_2018_A_VALIDER</x:v>
      </x:c>
    </x:row>
    <x:row r="62">
      <x:c r="A62" s="14" t="n">
        <x:v>59</x:v>
      </x:c>
      <x:c r="B62" s="14" t="n">
        <x:v>47</x:v>
      </x:c>
      <x:c r="C62" s="14" t="str">
        <x:v>SECTEUR</x:v>
      </x:c>
      <x:c r="D62" s="14" t="str">
        <x:v>Lomako</x:v>
      </x:c>
      <x:c r="E62" s="14"/>
      <x:c r="F62" s="14"/>
      <x:c r="G62" s="14"/>
      <x:c r="H62" s="14"/>
      <x:c r="I62" s="14" t="n">
        <x:v>2018</x:v>
      </x:c>
      <x:c r="J62" s="14" t="str">
        <x:v>S06</x:v>
      </x:c>
      <x:c r="K62" s="14" t="str">
        <x:v>HISTORIQUE_CENI_2018_A_VALIDER</x:v>
      </x:c>
    </x:row>
    <x:row r="63">
      <x:c r="A63" s="14" t="n">
        <x:v>60</x:v>
      </x:c>
      <x:c r="B63" s="14" t="n">
        <x:v>77</x:v>
      </x:c>
      <x:c r="C63" s="14" t="str">
        <x:v>CHEFFERIE</x:v>
      </x:c>
      <x:c r="D63" s="14" t="str">
        <x:v>Bashu</x:v>
      </x:c>
      <x:c r="E63" s="14"/>
      <x:c r="F63" s="14"/>
      <x:c r="G63" s="14"/>
      <x:c r="H63" s="14"/>
      <x:c r="I63" s="14" t="n">
        <x:v>2018</x:v>
      </x:c>
      <x:c r="J63" s="14" t="str">
        <x:v>S06</x:v>
      </x:c>
      <x:c r="K63" s="14" t="str">
        <x:v>HISTORIQUE_CENI_2018_A_VALIDER</x:v>
      </x:c>
    </x:row>
    <x:row r="64">
      <x:c r="A64" s="14" t="n">
        <x:v>61</x:v>
      </x:c>
      <x:c r="B64" s="14" t="n">
        <x:v>77</x:v>
      </x:c>
      <x:c r="C64" s="14" t="str">
        <x:v>SECTEUR</x:v>
      </x:c>
      <x:c r="D64" s="14" t="str">
        <x:v>Beni</x:v>
      </x:c>
      <x:c r="E64" s="14"/>
      <x:c r="F64" s="14"/>
      <x:c r="G64" s="14"/>
      <x:c r="H64" s="14"/>
      <x:c r="I64" s="14" t="n">
        <x:v>2018</x:v>
      </x:c>
      <x:c r="J64" s="14" t="str">
        <x:v>S06</x:v>
      </x:c>
      <x:c r="K64" s="14" t="str">
        <x:v>HISTORIQUE_CENI_2018_A_VALIDER</x:v>
      </x:c>
    </x:row>
    <x:row r="65">
      <x:c r="A65" s="14" t="n">
        <x:v>62</x:v>
      </x:c>
      <x:c r="B65" s="14" t="n">
        <x:v>77</x:v>
      </x:c>
      <x:c r="C65" s="14" t="str">
        <x:v>SECTEUR</x:v>
      </x:c>
      <x:c r="D65" s="14" t="str">
        <x:v>Ruwenzori</x:v>
      </x:c>
      <x:c r="E65" s="14"/>
      <x:c r="F65" s="14"/>
      <x:c r="G65" s="14"/>
      <x:c r="H65" s="14"/>
      <x:c r="I65" s="14" t="n">
        <x:v>2018</x:v>
      </x:c>
      <x:c r="J65" s="14" t="str">
        <x:v>S06</x:v>
      </x:c>
      <x:c r="K65" s="14" t="str">
        <x:v>HISTORIQUE_CENI_2018_A_VALIDER</x:v>
      </x:c>
    </x:row>
    <x:row r="66">
      <x:c r="A66" s="14" t="n">
        <x:v>63</x:v>
      </x:c>
      <x:c r="B66" s="14" t="n">
        <x:v>77</x:v>
      </x:c>
      <x:c r="C66" s="14" t="str">
        <x:v>CHEFFERIE</x:v>
      </x:c>
      <x:c r="D66" s="14" t="str">
        <x:v>Watalinga</x:v>
      </x:c>
      <x:c r="E66" s="14"/>
      <x:c r="F66" s="14"/>
      <x:c r="G66" s="14"/>
      <x:c r="H66" s="14"/>
      <x:c r="I66" s="14" t="n">
        <x:v>2018</x:v>
      </x:c>
      <x:c r="J66" s="14" t="str">
        <x:v>S06</x:v>
      </x:c>
      <x:c r="K66" s="14" t="str">
        <x:v>HISTORIQUE_CENI_2018_A_VALIDER</x:v>
      </x:c>
    </x:row>
    <x:row r="67">
      <x:c r="A67" s="14" t="n">
        <x:v>64</x:v>
      </x:c>
      <x:c r="B67" s="14" t="n">
        <x:v>30</x:v>
      </x:c>
      <x:c r="C67" s="14" t="str">
        <x:v>SECTEUR</x:v>
      </x:c>
      <x:c r="D67" s="14" t="str">
        <x:v>Ekonda</x:v>
      </x:c>
      <x:c r="E67" s="14"/>
      <x:c r="F67" s="14"/>
      <x:c r="G67" s="14"/>
      <x:c r="H67" s="14"/>
      <x:c r="I67" s="14" t="n">
        <x:v>2018</x:v>
      </x:c>
      <x:c r="J67" s="14" t="str">
        <x:v>S06</x:v>
      </x:c>
      <x:c r="K67" s="14" t="str">
        <x:v>HISTORIQUE_CENI_2018_A_VALIDER</x:v>
      </x:c>
    </x:row>
    <x:row r="68">
      <x:c r="A68" s="14" t="n">
        <x:v>65</x:v>
      </x:c>
      <x:c r="B68" s="14" t="n">
        <x:v>30</x:v>
      </x:c>
      <x:c r="C68" s="14" t="str">
        <x:v>SECTEUR</x:v>
      </x:c>
      <x:c r="D68" s="14" t="str">
        <x:v>Elanga</x:v>
      </x:c>
      <x:c r="E68" s="14"/>
      <x:c r="F68" s="14"/>
      <x:c r="G68" s="14"/>
      <x:c r="H68" s="14"/>
      <x:c r="I68" s="14" t="n">
        <x:v>2018</x:v>
      </x:c>
      <x:c r="J68" s="14" t="str">
        <x:v>S06</x:v>
      </x:c>
      <x:c r="K68" s="14" t="str">
        <x:v>HISTORIQUE_CENI_2018_A_VALIDER</x:v>
      </x:c>
    </x:row>
    <x:row r="69">
      <x:c r="A69" s="14" t="n">
        <x:v>66</x:v>
      </x:c>
      <x:c r="B69" s="14" t="n">
        <x:v>30</x:v>
      </x:c>
      <x:c r="C69" s="14" t="str">
        <x:v>SECTEUR</x:v>
      </x:c>
      <x:c r="D69" s="14" t="str">
        <x:v>Lac Ntomba</x:v>
      </x:c>
      <x:c r="E69" s="14"/>
      <x:c r="F69" s="14"/>
      <x:c r="G69" s="14"/>
      <x:c r="H69" s="14"/>
      <x:c r="I69" s="14" t="n">
        <x:v>2018</x:v>
      </x:c>
      <x:c r="J69" s="14" t="str">
        <x:v>S06</x:v>
      </x:c>
      <x:c r="K69" s="14" t="str">
        <x:v>HISTORIQUE_CENI_2018_A_VALIDER</x:v>
      </x:c>
    </x:row>
    <x:row r="70">
      <x:c r="A70" s="14" t="n">
        <x:v>67</x:v>
      </x:c>
      <x:c r="B70" s="14" t="n">
        <x:v>48</x:v>
      </x:c>
      <x:c r="C70" s="14" t="str">
        <x:v>SECTEUR</x:v>
      </x:c>
      <x:c r="D70" s="14" t="str">
        <x:v>Bolua</x:v>
      </x:c>
      <x:c r="E70" s="14"/>
      <x:c r="F70" s="14"/>
      <x:c r="G70" s="14"/>
      <x:c r="H70" s="14"/>
      <x:c r="I70" s="14" t="n">
        <x:v>2018</x:v>
      </x:c>
      <x:c r="J70" s="14" t="str">
        <x:v>S06</x:v>
      </x:c>
      <x:c r="K70" s="14" t="str">
        <x:v>HISTORIQUE_CENI_2018_A_VALIDER</x:v>
      </x:c>
    </x:row>
    <x:row r="71">
      <x:c r="A71" s="14" t="n">
        <x:v>68</x:v>
      </x:c>
      <x:c r="B71" s="14" t="n">
        <x:v>48</x:v>
      </x:c>
      <x:c r="C71" s="14" t="str">
        <x:v>SECTEUR</x:v>
      </x:c>
      <x:c r="D71" s="14" t="str">
        <x:v>Djera</x:v>
      </x:c>
      <x:c r="E71" s="14"/>
      <x:c r="F71" s="14"/>
      <x:c r="G71" s="14"/>
      <x:c r="H71" s="14"/>
      <x:c r="I71" s="14" t="n">
        <x:v>2018</x:v>
      </x:c>
      <x:c r="J71" s="14" t="str">
        <x:v>S06</x:v>
      </x:c>
      <x:c r="K71" s="14" t="str">
        <x:v>HISTORIQUE_CENI_2018_A_VALIDER</x:v>
      </x:c>
    </x:row>
    <x:row r="72">
      <x:c r="A72" s="14" t="n">
        <x:v>69</x:v>
      </x:c>
      <x:c r="B72" s="14" t="n">
        <x:v>48</x:v>
      </x:c>
      <x:c r="C72" s="14" t="str">
        <x:v>SECTEUR</x:v>
      </x:c>
      <x:c r="D72" s="14" t="str">
        <x:v>Lofoy</x:v>
      </x:c>
      <x:c r="E72" s="14"/>
      <x:c r="F72" s="14"/>
      <x:c r="G72" s="14"/>
      <x:c r="H72" s="14"/>
      <x:c r="I72" s="14" t="n">
        <x:v>2018</x:v>
      </x:c>
      <x:c r="J72" s="14" t="str">
        <x:v>S06</x:v>
      </x:c>
      <x:c r="K72" s="14" t="str">
        <x:v>HISTORIQUE_CENI_2018_A_VALIDER</x:v>
      </x:c>
    </x:row>
    <x:row r="73">
      <x:c r="A73" s="14" t="n">
        <x:v>70</x:v>
      </x:c>
      <x:c r="B73" s="14" t="n">
        <x:v>48</x:v>
      </x:c>
      <x:c r="C73" s="14" t="str">
        <x:v>SECTEUR</x:v>
      </x:c>
      <x:c r="D73" s="14" t="str">
        <x:v>Wini</x:v>
      </x:c>
      <x:c r="E73" s="14"/>
      <x:c r="F73" s="14"/>
      <x:c r="G73" s="14"/>
      <x:c r="H73" s="14"/>
      <x:c r="I73" s="14" t="n">
        <x:v>2018</x:v>
      </x:c>
      <x:c r="J73" s="14" t="str">
        <x:v>S06</x:v>
      </x:c>
      <x:c r="K73" s="14" t="str">
        <x:v>HISTORIQUE_CENI_2018_A_VALIDER</x:v>
      </x:c>
    </x:row>
    <x:row r="74">
      <x:c r="A74" s="14" t="n">
        <x:v>71</x:v>
      </x:c>
      <x:c r="B74" s="14" t="n">
        <x:v>49</x:v>
      </x:c>
      <x:c r="C74" s="14" t="str">
        <x:v>SECTEUR</x:v>
      </x:c>
      <x:c r="D74" s="14" t="str">
        <x:v>Loombo</x:v>
      </x:c>
      <x:c r="E74" s="14"/>
      <x:c r="F74" s="14"/>
      <x:c r="G74" s="14"/>
      <x:c r="H74" s="14"/>
      <x:c r="I74" s="14" t="n">
        <x:v>2018</x:v>
      </x:c>
      <x:c r="J74" s="14" t="str">
        <x:v>S06</x:v>
      </x:c>
      <x:c r="K74" s="14" t="str">
        <x:v>HISTORIQUE_CENI_2018_A_VALIDER</x:v>
      </x:c>
    </x:row>
    <x:row r="75">
      <x:c r="A75" s="14" t="n">
        <x:v>72</x:v>
      </x:c>
      <x:c r="B75" s="14" t="n">
        <x:v>49</x:v>
      </x:c>
      <x:c r="C75" s="14" t="str">
        <x:v>SECTEUR</x:v>
      </x:c>
      <x:c r="D75" s="14" t="str">
        <x:v>Lolaka</x:v>
      </x:c>
      <x:c r="E75" s="14"/>
      <x:c r="F75" s="14"/>
      <x:c r="G75" s="14"/>
      <x:c r="H75" s="14"/>
      <x:c r="I75" s="14" t="n">
        <x:v>2018</x:v>
      </x:c>
      <x:c r="J75" s="14" t="str">
        <x:v>S06</x:v>
      </x:c>
      <x:c r="K75" s="14" t="str">
        <x:v>HISTORIQUE_CENI_2018_A_VALIDER</x:v>
      </x:c>
    </x:row>
    <x:row r="76">
      <x:c r="A76" s="14" t="n">
        <x:v>73</x:v>
      </x:c>
      <x:c r="B76" s="14" t="n">
        <x:v>49</x:v>
      </x:c>
      <x:c r="C76" s="14" t="str">
        <x:v>SECTEUR</x:v>
      </x:c>
      <x:c r="D76" s="14" t="str">
        <x:v>Luando</x:v>
      </x:c>
      <x:c r="E76" s="14"/>
      <x:c r="F76" s="14"/>
      <x:c r="G76" s="14"/>
      <x:c r="H76" s="14"/>
      <x:c r="I76" s="14" t="n">
        <x:v>2018</x:v>
      </x:c>
      <x:c r="J76" s="14" t="str">
        <x:v>S06</x:v>
      </x:c>
      <x:c r="K76" s="14" t="str">
        <x:v>HISTORIQUE_CENI_2018_A_VALIDER</x:v>
      </x:c>
    </x:row>
    <x:row r="77">
      <x:c r="A77" s="14" t="n">
        <x:v>74</x:v>
      </x:c>
      <x:c r="B77" s="14" t="n">
        <x:v>49</x:v>
      </x:c>
      <x:c r="C77" s="14" t="str">
        <x:v>SECTEUR</x:v>
      </x:c>
      <x:c r="D77" s="14" t="str">
        <x:v>Luay</x:v>
      </x:c>
      <x:c r="E77" s="14"/>
      <x:c r="F77" s="14"/>
      <x:c r="G77" s="14"/>
      <x:c r="H77" s="14"/>
      <x:c r="I77" s="14" t="n">
        <x:v>2018</x:v>
      </x:c>
      <x:c r="J77" s="14" t="str">
        <x:v>S06</x:v>
      </x:c>
      <x:c r="K77" s="14" t="str">
        <x:v>HISTORIQUE_CENI_2018_A_VALIDER</x:v>
      </x:c>
    </x:row>
    <x:row r="78">
      <x:c r="A78" s="14" t="n">
        <x:v>75</x:v>
      </x:c>
      <x:c r="B78" s="14" t="n">
        <x:v>49</x:v>
      </x:c>
      <x:c r="C78" s="14" t="str">
        <x:v>CHEFFERIE</x:v>
      </x:c>
      <x:c r="D78" s="14" t="str">
        <x:v>Nkole</x:v>
      </x:c>
      <x:c r="E78" s="14"/>
      <x:c r="F78" s="14"/>
      <x:c r="G78" s="14"/>
      <x:c r="H78" s="14"/>
      <x:c r="I78" s="14" t="n">
        <x:v>2018</x:v>
      </x:c>
      <x:c r="J78" s="14" t="str">
        <x:v>S06</x:v>
      </x:c>
      <x:c r="K78" s="14" t="str">
        <x:v>HISTORIQUE_CENI_2018_A_VALIDER</x:v>
      </x:c>
    </x:row>
    <x:row r="79">
      <x:c r="A79" s="14" t="n">
        <x:v>76</x:v>
      </x:c>
      <x:c r="B79" s="14" t="n">
        <x:v>21</x:v>
      </x:c>
      <x:c r="C79" s="14" t="str">
        <x:v>CHEFFERIE</x:v>
      </x:c>
      <x:c r="D79" s="14" t="str">
        <x:v>Bateke-Nord</x:v>
      </x:c>
      <x:c r="E79" s="14"/>
      <x:c r="F79" s="14"/>
      <x:c r="G79" s="14"/>
      <x:c r="H79" s="14"/>
      <x:c r="I79" s="14" t="n">
        <x:v>2018</x:v>
      </x:c>
      <x:c r="J79" s="14" t="str">
        <x:v>S06</x:v>
      </x:c>
      <x:c r="K79" s="14" t="str">
        <x:v>HISTORIQUE_CENI_2018_A_VALIDER</x:v>
      </x:c>
    </x:row>
    <x:row r="80">
      <x:c r="A80" s="14" t="n">
        <x:v>77</x:v>
      </x:c>
      <x:c r="B80" s="14" t="n">
        <x:v>31</x:v>
      </x:c>
      <x:c r="C80" s="14" t="str">
        <x:v>SECTEUR</x:v>
      </x:c>
      <x:c r="D80" s="14" t="str">
        <x:v>Bolomba</x:v>
      </x:c>
      <x:c r="E80" s="14"/>
      <x:c r="F80" s="14"/>
      <x:c r="G80" s="14"/>
      <x:c r="H80" s="14"/>
      <x:c r="I80" s="14" t="n">
        <x:v>2018</x:v>
      </x:c>
      <x:c r="J80" s="14" t="str">
        <x:v>S06</x:v>
      </x:c>
      <x:c r="K80" s="14" t="str">
        <x:v>HISTORIQUE_CENI_2018_A_VALIDER</x:v>
      </x:c>
    </x:row>
    <x:row r="81">
      <x:c r="A81" s="14" t="n">
        <x:v>78</x:v>
      </x:c>
      <x:c r="B81" s="14" t="n">
        <x:v>31</x:v>
      </x:c>
      <x:c r="C81" s="14" t="str">
        <x:v>SECTEUR</x:v>
      </x:c>
      <x:c r="D81" s="14" t="str">
        <x:v>Busira</x:v>
      </x:c>
      <x:c r="E81" s="14"/>
      <x:c r="F81" s="14"/>
      <x:c r="G81" s="14"/>
      <x:c r="H81" s="14"/>
      <x:c r="I81" s="14" t="n">
        <x:v>2018</x:v>
      </x:c>
      <x:c r="J81" s="14" t="str">
        <x:v>S06</x:v>
      </x:c>
      <x:c r="K81" s="14" t="str">
        <x:v>HISTORIQUE_CENI_2018_A_VALIDER</x:v>
      </x:c>
    </x:row>
    <x:row r="82">
      <x:c r="A82" s="14" t="n">
        <x:v>79</x:v>
      </x:c>
      <x:c r="B82" s="14" t="n">
        <x:v>31</x:v>
      </x:c>
      <x:c r="C82" s="14" t="str">
        <x:v>CHEFFERIE</x:v>
      </x:c>
      <x:c r="D82" s="14" t="str">
        <x:v>Dianga</x:v>
      </x:c>
      <x:c r="E82" s="14"/>
      <x:c r="F82" s="14"/>
      <x:c r="G82" s="14"/>
      <x:c r="H82" s="14"/>
      <x:c r="I82" s="14" t="n">
        <x:v>2018</x:v>
      </x:c>
      <x:c r="J82" s="14" t="str">
        <x:v>S06</x:v>
      </x:c>
      <x:c r="K82" s="14" t="str">
        <x:v>HISTORIQUE_CENI_2018_A_VALIDER</x:v>
      </x:c>
    </x:row>
    <x:row r="83">
      <x:c r="A83" s="14" t="n">
        <x:v>80</x:v>
      </x:c>
      <x:c r="B83" s="14" t="n">
        <x:v>31</x:v>
      </x:c>
      <x:c r="C83" s="14" t="str">
        <x:v>SECTEUR</x:v>
      </x:c>
      <x:c r="D83" s="14" t="str">
        <x:v>Lusanganya</x:v>
      </x:c>
      <x:c r="E83" s="14"/>
      <x:c r="F83" s="14"/>
      <x:c r="G83" s="14"/>
      <x:c r="H83" s="14"/>
      <x:c r="I83" s="14" t="n">
        <x:v>2018</x:v>
      </x:c>
      <x:c r="J83" s="14" t="str">
        <x:v>S06</x:v>
      </x:c>
      <x:c r="K83" s="14" t="str">
        <x:v>HISTORIQUE_CENI_2018_A_VALIDER</x:v>
      </x:c>
    </x:row>
    <x:row r="84">
      <x:c r="A84" s="14" t="n">
        <x:v>81</x:v>
      </x:c>
      <x:c r="B84" s="14" t="n">
        <x:v>31</x:v>
      </x:c>
      <x:c r="C84" s="14" t="str">
        <x:v>SECTEUR</x:v>
      </x:c>
      <x:c r="D84" s="14" t="str">
        <x:v>Mampoko</x:v>
      </x:c>
      <x:c r="E84" s="14"/>
      <x:c r="F84" s="14"/>
      <x:c r="G84" s="14"/>
      <x:c r="H84" s="14"/>
      <x:c r="I84" s="14" t="n">
        <x:v>2018</x:v>
      </x:c>
      <x:c r="J84" s="14" t="str">
        <x:v>S06</x:v>
      </x:c>
      <x:c r="K84" s="14" t="str">
        <x:v>HISTORIQUE_CENI_2018_A_VALIDER</x:v>
      </x:c>
    </x:row>
    <x:row r="85">
      <x:c r="A85" s="14" t="n">
        <x:v>82</x:v>
      </x:c>
      <x:c r="B85" s="14" t="n">
        <x:v>32</x:v>
      </x:c>
      <x:c r="C85" s="14" t="str">
        <x:v>SECTEUR</x:v>
      </x:c>
      <x:c r="D85" s="14" t="str">
        <x:v>Djamba</x:v>
      </x:c>
      <x:c r="E85" s="14"/>
      <x:c r="F85" s="14"/>
      <x:c r="G85" s="14"/>
      <x:c r="H85" s="14"/>
      <x:c r="I85" s="14" t="n">
        <x:v>2018</x:v>
      </x:c>
      <x:c r="J85" s="14" t="str">
        <x:v>S06</x:v>
      </x:c>
      <x:c r="K85" s="14" t="str">
        <x:v>HISTORIQUE_CENI_2018_A_VALIDER</x:v>
      </x:c>
    </x:row>
    <x:row r="86">
      <x:c r="A86" s="14" t="n">
        <x:v>83</x:v>
      </x:c>
      <x:c r="B86" s="14" t="n">
        <x:v>32</x:v>
      </x:c>
      <x:c r="C86" s="14" t="str">
        <x:v>SECTEUR</x:v>
      </x:c>
      <x:c r="D86" s="14" t="str">
        <x:v>Ngiri</x:v>
      </x:c>
      <x:c r="E86" s="14"/>
      <x:c r="F86" s="14"/>
      <x:c r="G86" s="14"/>
      <x:c r="H86" s="14"/>
      <x:c r="I86" s="14" t="n">
        <x:v>2018</x:v>
      </x:c>
      <x:c r="J86" s="14" t="str">
        <x:v>S06</x:v>
      </x:c>
      <x:c r="K86" s="14" t="str">
        <x:v>HISTORIQUE_CENI_2018_A_VALIDER</x:v>
      </x:c>
    </x:row>
    <x:row r="87">
      <x:c r="A87" s="14" t="n">
        <x:v>84</x:v>
      </x:c>
      <x:c r="B87" s="14" t="n">
        <x:v>44</x:v>
      </x:c>
      <x:c r="C87" s="14" t="str">
        <x:v>SECTEUR</x:v>
      </x:c>
      <x:c r="D87" s="14" t="str">
        <x:v>Bongandanga</x:v>
      </x:c>
      <x:c r="E87" s="14"/>
      <x:c r="F87" s="14"/>
      <x:c r="G87" s="14"/>
      <x:c r="H87" s="14"/>
      <x:c r="I87" s="14" t="n">
        <x:v>2018</x:v>
      </x:c>
      <x:c r="J87" s="14" t="str">
        <x:v>S06</x:v>
      </x:c>
      <x:c r="K87" s="14" t="str">
        <x:v>HISTORIQUE_CENI_2018_A_VALIDER</x:v>
      </x:c>
    </x:row>
    <x:row r="88">
      <x:c r="A88" s="14" t="n">
        <x:v>85</x:v>
      </x:c>
      <x:c r="B88" s="14" t="n">
        <x:v>44</x:v>
      </x:c>
      <x:c r="C88" s="14" t="str">
        <x:v>SECTEUR</x:v>
      </x:c>
      <x:c r="D88" s="14" t="str">
        <x:v>Boso-Djanoa</x:v>
      </x:c>
      <x:c r="E88" s="14"/>
      <x:c r="F88" s="14"/>
      <x:c r="G88" s="14"/>
      <x:c r="H88" s="14"/>
      <x:c r="I88" s="14" t="n">
        <x:v>2018</x:v>
      </x:c>
      <x:c r="J88" s="14" t="str">
        <x:v>S06</x:v>
      </x:c>
      <x:c r="K88" s="14" t="str">
        <x:v>HISTORIQUE_CENI_2018_A_VALIDER</x:v>
      </x:c>
    </x:row>
    <x:row r="89">
      <x:c r="A89" s="14" t="n">
        <x:v>86</x:v>
      </x:c>
      <x:c r="B89" s="14" t="n">
        <x:v>44</x:v>
      </x:c>
      <x:c r="C89" s="14" t="str">
        <x:v>SECTEUR</x:v>
      </x:c>
      <x:c r="D89" s="14" t="str">
        <x:v>Boso-Melo</x:v>
      </x:c>
      <x:c r="E89" s="14"/>
      <x:c r="F89" s="14"/>
      <x:c r="G89" s="14"/>
      <x:c r="H89" s="14"/>
      <x:c r="I89" s="14" t="n">
        <x:v>2018</x:v>
      </x:c>
      <x:c r="J89" s="14" t="str">
        <x:v>S06</x:v>
      </x:c>
      <x:c r="K89" s="14" t="str">
        <x:v>HISTORIQUE_CENI_2018_A_VALIDER</x:v>
      </x:c>
    </x:row>
    <x:row r="90">
      <x:c r="A90" s="14" t="n">
        <x:v>87</x:v>
      </x:c>
      <x:c r="B90" s="14" t="n">
        <x:v>44</x:v>
      </x:c>
      <x:c r="C90" s="14" t="str">
        <x:v>SECTEUR</x:v>
      </x:c>
      <x:c r="D90" s="14" t="str">
        <x:v>Boso-Simba</x:v>
      </x:c>
      <x:c r="E90" s="14"/>
      <x:c r="F90" s="14"/>
      <x:c r="G90" s="14"/>
      <x:c r="H90" s="14"/>
      <x:c r="I90" s="14" t="n">
        <x:v>2018</x:v>
      </x:c>
      <x:c r="J90" s="14" t="str">
        <x:v>S06</x:v>
      </x:c>
      <x:c r="K90" s="14" t="str">
        <x:v>HISTORIQUE_CENI_2018_A_VALIDER</x:v>
      </x:c>
    </x:row>
    <x:row r="91">
      <x:c r="A91" s="14" t="n">
        <x:v>88</x:v>
      </x:c>
      <x:c r="B91" s="14" t="n">
        <x:v>63</x:v>
      </x:c>
      <x:c r="C91" s="14" t="str">
        <x:v>CHEFFERIE</x:v>
      </x:c>
      <x:c r="D91" s="14" t="str">
        <x:v>Biamange</x:v>
      </x:c>
      <x:c r="E91" s="14"/>
      <x:c r="F91" s="14"/>
      <x:c r="G91" s="14"/>
      <x:c r="H91" s="14"/>
      <x:c r="I91" s="14" t="n">
        <x:v>2018</x:v>
      </x:c>
      <x:c r="J91" s="14" t="str">
        <x:v>S06</x:v>
      </x:c>
      <x:c r="K91" s="14" t="str">
        <x:v>HISTORIQUE_CENI_2018_A_VALIDER</x:v>
      </x:c>
    </x:row>
    <x:row r="92">
      <x:c r="A92" s="14" t="n">
        <x:v>89</x:v>
      </x:c>
      <x:c r="B92" s="14" t="n">
        <x:v>63</x:v>
      </x:c>
      <x:c r="C92" s="14" t="str">
        <x:v>CHEFFERIE</x:v>
      </x:c>
      <x:c r="D92" s="14" t="str">
        <x:v>Boso</x:v>
      </x:c>
      <x:c r="E92" s="14"/>
      <x:c r="F92" s="14"/>
      <x:c r="G92" s="14"/>
      <x:c r="H92" s="14"/>
      <x:c r="I92" s="14" t="n">
        <x:v>2018</x:v>
      </x:c>
      <x:c r="J92" s="14" t="str">
        <x:v>S06</x:v>
      </x:c>
      <x:c r="K92" s="14" t="str">
        <x:v>HISTORIQUE_CENI_2018_A_VALIDER</x:v>
      </x:c>
    </x:row>
    <x:row r="93">
      <x:c r="A93" s="14" t="n">
        <x:v>90</x:v>
      </x:c>
      <x:c r="B93" s="14" t="n">
        <x:v>63</x:v>
      </x:c>
      <x:c r="C93" s="14" t="str">
        <x:v>CHEFFERIE</x:v>
      </x:c>
      <x:c r="D93" s="14" t="str">
        <x:v>Deni</x:v>
      </x:c>
      <x:c r="E93" s="14"/>
      <x:c r="F93" s="14"/>
      <x:c r="G93" s="14"/>
      <x:c r="H93" s="14"/>
      <x:c r="I93" s="14" t="n">
        <x:v>2018</x:v>
      </x:c>
      <x:c r="J93" s="14" t="str">
        <x:v>S06</x:v>
      </x:c>
      <x:c r="K93" s="14" t="str">
        <x:v>HISTORIQUE_CENI_2018_A_VALIDER</x:v>
      </x:c>
    </x:row>
    <x:row r="94">
      <x:c r="A94" s="14" t="n">
        <x:v>91</x:v>
      </x:c>
      <x:c r="B94" s="14" t="n">
        <x:v>63</x:v>
      </x:c>
      <x:c r="C94" s="14" t="str">
        <x:v>CHEFFERIE</x:v>
      </x:c>
      <x:c r="D94" s="14" t="str">
        <x:v>Duaru</x:v>
      </x:c>
      <x:c r="E94" s="14"/>
      <x:c r="F94" s="14"/>
      <x:c r="G94" s="14"/>
      <x:c r="H94" s="14"/>
      <x:c r="I94" s="14" t="n">
        <x:v>2018</x:v>
      </x:c>
      <x:c r="J94" s="14" t="str">
        <x:v>S06</x:v>
      </x:c>
      <x:c r="K94" s="14" t="str">
        <x:v>HISTORIQUE_CENI_2018_A_VALIDER</x:v>
      </x:c>
    </x:row>
    <x:row r="95">
      <x:c r="A95" s="14" t="n">
        <x:v>92</x:v>
      </x:c>
      <x:c r="B95" s="14" t="n">
        <x:v>63</x:v>
      </x:c>
      <x:c r="C95" s="14" t="str">
        <x:v>CHEFFERIE</x:v>
      </x:c>
      <x:c r="D95" s="14" t="str">
        <x:v>Gama</x:v>
      </x:c>
      <x:c r="E95" s="14"/>
      <x:c r="F95" s="14"/>
      <x:c r="G95" s="14"/>
      <x:c r="H95" s="14"/>
      <x:c r="I95" s="14" t="n">
        <x:v>2018</x:v>
      </x:c>
      <x:c r="J95" s="14" t="str">
        <x:v>S06</x:v>
      </x:c>
      <x:c r="K95" s="14" t="str">
        <x:v>HISTORIQUE_CENI_2018_A_VALIDER</x:v>
      </x:c>
    </x:row>
    <x:row r="96">
      <x:c r="A96" s="14" t="n">
        <x:v>93</x:v>
      </x:c>
      <x:c r="B96" s="14" t="n">
        <x:v>63</x:v>
      </x:c>
      <x:c r="C96" s="14" t="str">
        <x:v>CHEFFERIE</x:v>
      </x:c>
      <x:c r="D96" s="14" t="str">
        <x:v>Gaya</x:v>
      </x:c>
      <x:c r="E96" s="14"/>
      <x:c r="F96" s="14"/>
      <x:c r="G96" s="14"/>
      <x:c r="H96" s="14"/>
      <x:c r="I96" s="14" t="n">
        <x:v>2018</x:v>
      </x:c>
      <x:c r="J96" s="14" t="str">
        <x:v>S06</x:v>
      </x:c>
      <x:c r="K96" s="14" t="str">
        <x:v>HISTORIQUE_CENI_2018_A_VALIDER</x:v>
      </x:c>
    </x:row>
    <x:row r="97">
      <x:c r="A97" s="14" t="n">
        <x:v>94</x:v>
      </x:c>
      <x:c r="B97" s="14" t="n">
        <x:v>63</x:v>
      </x:c>
      <x:c r="C97" s="14" t="str">
        <x:v>CHEFFERIE</x:v>
      </x:c>
      <x:c r="D97" s="14" t="str">
        <x:v>Goa</x:v>
      </x:c>
      <x:c r="E97" s="14"/>
      <x:c r="F97" s="14"/>
      <x:c r="G97" s="14"/>
      <x:c r="H97" s="14"/>
      <x:c r="I97" s="14" t="n">
        <x:v>2018</x:v>
      </x:c>
      <x:c r="J97" s="14" t="str">
        <x:v>S06</x:v>
      </x:c>
      <x:c r="K97" s="14" t="str">
        <x:v>HISTORIQUE_CENI_2018_A_VALIDER</x:v>
      </x:c>
    </x:row>
    <x:row r="98">
      <x:c r="A98" s="14" t="n">
        <x:v>95</x:v>
      </x:c>
      <x:c r="B98" s="14" t="n">
        <x:v>63</x:v>
      </x:c>
      <x:c r="C98" s="14" t="str">
        <x:v>CHEFFERIE</x:v>
      </x:c>
      <x:c r="D98" s="14" t="str">
        <x:v>Kasa</x:v>
      </x:c>
      <x:c r="E98" s="14"/>
      <x:c r="F98" s="14"/>
      <x:c r="G98" s="14"/>
      <x:c r="H98" s="14"/>
      <x:c r="I98" s="14" t="n">
        <x:v>2018</x:v>
      </x:c>
      <x:c r="J98" s="14" t="str">
        <x:v>S06</x:v>
      </x:c>
      <x:c r="K98" s="14" t="str">
        <x:v>HISTORIQUE_CENI_2018_A_VALIDER</x:v>
      </x:c>
    </x:row>
    <x:row r="99">
      <x:c r="A99" s="14" t="n">
        <x:v>96</x:v>
      </x:c>
      <x:c r="B99" s="14" t="n">
        <x:v>63</x:v>
      </x:c>
      <x:c r="C99" s="14" t="str">
        <x:v>CHEFFERIE</x:v>
      </x:c>
      <x:c r="D99" s="14" t="str">
        <x:v>Mobenge-Mondila</x:v>
      </x:c>
      <x:c r="E99" s="14"/>
      <x:c r="F99" s="14"/>
      <x:c r="G99" s="14"/>
      <x:c r="H99" s="14"/>
      <x:c r="I99" s="14" t="n">
        <x:v>2018</x:v>
      </x:c>
      <x:c r="J99" s="14" t="str">
        <x:v>S06</x:v>
      </x:c>
      <x:c r="K99" s="14" t="str">
        <x:v>HISTORIQUE_CENI_2018_A_VALIDER</x:v>
      </x:c>
    </x:row>
    <x:row r="100">
      <x:c r="A100" s="14" t="n">
        <x:v>97</x:v>
      </x:c>
      <x:c r="B100" s="14" t="n">
        <x:v>63</x:v>
      </x:c>
      <x:c r="C100" s="14" t="str">
        <x:v>CHEFFERIE</x:v>
      </x:c>
      <x:c r="D100" s="14" t="str">
        <x:v>Soa</x:v>
      </x:c>
      <x:c r="E100" s="14"/>
      <x:c r="F100" s="14"/>
      <x:c r="G100" s="14"/>
      <x:c r="H100" s="14"/>
      <x:c r="I100" s="14" t="n">
        <x:v>2018</x:v>
      </x:c>
      <x:c r="J100" s="14" t="str">
        <x:v>S06</x:v>
      </x:c>
      <x:c r="K100" s="14" t="str">
        <x:v>HISTORIQUE_CENI_2018_A_VALIDER</x:v>
      </x:c>
    </x:row>
    <x:row r="101">
      <x:c r="A101" s="14" t="n">
        <x:v>98</x:v>
      </x:c>
      <x:c r="B101" s="14" t="n">
        <x:v>40</x:v>
      </x:c>
      <x:c r="C101" s="14" t="str">
        <x:v>SECTEUR</x:v>
      </x:c>
      <x:c r="D101" s="14" t="str">
        <x:v>Bandas</x:v>
      </x:c>
      <x:c r="E101" s="14"/>
      <x:c r="F101" s="14"/>
      <x:c r="G101" s="14"/>
      <x:c r="H101" s="14"/>
      <x:c r="I101" s="14" t="n">
        <x:v>2018</x:v>
      </x:c>
      <x:c r="J101" s="14" t="str">
        <x:v>S06</x:v>
      </x:c>
      <x:c r="K101" s="14" t="str">
        <x:v>HISTORIQUE_CENI_2018_A_VALIDER</x:v>
      </x:c>
    </x:row>
    <x:row r="102">
      <x:c r="A102" s="14" t="n">
        <x:v>99</x:v>
      </x:c>
      <x:c r="B102" s="14" t="n">
        <x:v>40</x:v>
      </x:c>
      <x:c r="C102" s="14" t="str">
        <x:v>SECTEUR</x:v>
      </x:c>
      <x:c r="D102" s="14" t="str">
        <x:v>Bosobolo</x:v>
      </x:c>
      <x:c r="E102" s="14"/>
      <x:c r="F102" s="14"/>
      <x:c r="G102" s="14"/>
      <x:c r="H102" s="14"/>
      <x:c r="I102" s="14" t="n">
        <x:v>2018</x:v>
      </x:c>
      <x:c r="J102" s="14" t="str">
        <x:v>S06</x:v>
      </x:c>
      <x:c r="K102" s="14" t="str">
        <x:v>HISTORIQUE_CENI_2018_A_VALIDER</x:v>
      </x:c>
    </x:row>
    <x:row r="103">
      <x:c r="A103" s="14" t="n">
        <x:v>100</x:v>
      </x:c>
      <x:c r="B103" s="14" t="n">
        <x:v>40</x:v>
      </x:c>
      <x:c r="C103" s="14" t="str">
        <x:v>SECTEUR</x:v>
      </x:c>
      <x:c r="D103" s="14" t="str">
        <x:v>Bili</x:v>
      </x:c>
      <x:c r="E103" s="14"/>
      <x:c r="F103" s="14"/>
      <x:c r="G103" s="14"/>
      <x:c r="H103" s="14"/>
      <x:c r="I103" s="14" t="n">
        <x:v>2018</x:v>
      </x:c>
      <x:c r="J103" s="14" t="str">
        <x:v>S06</x:v>
      </x:c>
      <x:c r="K103" s="14" t="str">
        <x:v>HISTORIQUE_CENI_2018_A_VALIDER</x:v>
      </x:c>
    </x:row>
    <x:row r="104">
      <x:c r="A104" s="14" t="n">
        <x:v>101</x:v>
      </x:c>
      <x:c r="B104" s="14" t="n">
        <x:v>36</x:v>
      </x:c>
      <x:c r="C104" s="14" t="str">
        <x:v>SECTEUR</x:v>
      </x:c>
      <x:c r="D104" s="14" t="str">
        <x:v>Banza</x:v>
      </x:c>
      <x:c r="E104" s="14"/>
      <x:c r="F104" s="14"/>
      <x:c r="G104" s="14"/>
      <x:c r="H104" s="14"/>
      <x:c r="I104" s="14" t="n">
        <x:v>2018</x:v>
      </x:c>
      <x:c r="J104" s="14" t="str">
        <x:v>S06</x:v>
      </x:c>
      <x:c r="K104" s="14" t="str">
        <x:v>HISTORIQUE_CENI_2018_A_VALIDER</x:v>
      </x:c>
    </x:row>
    <x:row r="105">
      <x:c r="A105" s="14" t="n">
        <x:v>102</x:v>
      </x:c>
      <x:c r="B105" s="14" t="n">
        <x:v>36</x:v>
      </x:c>
      <x:c r="C105" s="14" t="str">
        <x:v>SECTEUR</x:v>
      </x:c>
      <x:c r="D105" s="14" t="str">
        <x:v>Bolingo</x:v>
      </x:c>
      <x:c r="E105" s="14"/>
      <x:c r="F105" s="14"/>
      <x:c r="G105" s="14"/>
      <x:c r="H105" s="14"/>
      <x:c r="I105" s="14" t="n">
        <x:v>2018</x:v>
      </x:c>
      <x:c r="J105" s="14" t="str">
        <x:v>S06</x:v>
      </x:c>
      <x:c r="K105" s="14" t="str">
        <x:v>HISTORIQUE_CENI_2018_A_VALIDER</x:v>
      </x:c>
    </x:row>
    <x:row r="106">
      <x:c r="A106" s="14" t="n">
        <x:v>103</x:v>
      </x:c>
      <x:c r="B106" s="14" t="n">
        <x:v>36</x:v>
      </x:c>
      <x:c r="C106" s="14" t="str">
        <x:v>SECTEUR</x:v>
      </x:c>
      <x:c r="D106" s="14" t="str">
        <x:v>Mongala Motima</x:v>
      </x:c>
      <x:c r="E106" s="14"/>
      <x:c r="F106" s="14"/>
      <x:c r="G106" s="14"/>
      <x:c r="H106" s="14"/>
      <x:c r="I106" s="14" t="n">
        <x:v>2018</x:v>
      </x:c>
      <x:c r="J106" s="14" t="str">
        <x:v>S06</x:v>
      </x:c>
      <x:c r="K106" s="14" t="str">
        <x:v>HISTORIQUE_CENI_2018_A_VALIDER</x:v>
      </x:c>
    </x:row>
    <x:row r="107">
      <x:c r="A107" s="14" t="n">
        <x:v>104</x:v>
      </x:c>
      <x:c r="B107" s="14" t="n">
        <x:v>36</x:v>
      </x:c>
      <x:c r="C107" s="14" t="str">
        <x:v>SECTEUR</x:v>
      </x:c>
      <x:c r="D107" s="14" t="str">
        <x:v>Ndolo-Liboko</x:v>
      </x:c>
      <x:c r="E107" s="14"/>
      <x:c r="F107" s="14"/>
      <x:c r="G107" s="14"/>
      <x:c r="H107" s="14"/>
      <x:c r="I107" s="14" t="n">
        <x:v>2018</x:v>
      </x:c>
      <x:c r="J107" s="14" t="str">
        <x:v>S06</x:v>
      </x:c>
      <x:c r="K107" s="14" t="str">
        <x:v>HISTORIQUE_CENI_2018_A_VALIDER</x:v>
      </x:c>
    </x:row>
    <x:row r="108">
      <x:c r="A108" s="14" t="n">
        <x:v>105</x:v>
      </x:c>
      <x:c r="B108" s="14" t="n">
        <x:v>36</x:v>
      </x:c>
      <x:c r="C108" s="14" t="str">
        <x:v>SECTEUR</x:v>
      </x:c>
      <x:c r="D108" s="14" t="str">
        <x:v>Ngombe-Doko de Lekimi</x:v>
      </x:c>
      <x:c r="E108" s="14"/>
      <x:c r="F108" s="14"/>
      <x:c r="G108" s="14"/>
      <x:c r="H108" s="14"/>
      <x:c r="I108" s="14" t="n">
        <x:v>2018</x:v>
      </x:c>
      <x:c r="J108" s="14" t="str">
        <x:v>S06</x:v>
      </x:c>
      <x:c r="K108" s="14" t="str">
        <x:v>HISTORIQUE_CENI_2018_A_VALIDER</x:v>
      </x:c>
    </x:row>
    <x:row r="109">
      <x:c r="A109" s="14" t="n">
        <x:v>106</x:v>
      </x:c>
      <x:c r="B109" s="14" t="n">
        <x:v>109</x:v>
      </x:c>
      <x:c r="C109" s="14" t="str">
        <x:v>CHEFFERIE</x:v>
      </x:c>
      <x:c r="D109" s="14" t="str">
        <x:v>Butumba</x:v>
      </x:c>
      <x:c r="E109" s="14"/>
      <x:c r="F109" s="14"/>
      <x:c r="G109" s="14"/>
      <x:c r="H109" s="14"/>
      <x:c r="I109" s="14" t="n">
        <x:v>2018</x:v>
      </x:c>
      <x:c r="J109" s="14" t="str">
        <x:v>S06</x:v>
      </x:c>
      <x:c r="K109" s="14" t="str">
        <x:v>HISTORIQUE_CENI_2018_A_VALIDER</x:v>
      </x:c>
    </x:row>
    <x:row r="110">
      <x:c r="A110" s="14" t="n">
        <x:v>107</x:v>
      </x:c>
      <x:c r="B110" s="14" t="n">
        <x:v>109</x:v>
      </x:c>
      <x:c r="C110" s="14" t="str">
        <x:v>CHEFFERIE</x:v>
      </x:c>
      <x:c r="D110" s="14" t="str">
        <x:v>Kabondo Dianda</x:v>
      </x:c>
      <x:c r="E110" s="14"/>
      <x:c r="F110" s="14"/>
      <x:c r="G110" s="14"/>
      <x:c r="H110" s="14"/>
      <x:c r="I110" s="14" t="n">
        <x:v>2018</x:v>
      </x:c>
      <x:c r="J110" s="14" t="str">
        <x:v>S06</x:v>
      </x:c>
      <x:c r="K110" s="14" t="str">
        <x:v>HISTORIQUE_CENI_2018_A_VALIDER</x:v>
      </x:c>
    </x:row>
    <x:row r="111">
      <x:c r="A111" s="14" t="n">
        <x:v>108</x:v>
      </x:c>
      <x:c r="B111" s="14" t="n">
        <x:v>109</x:v>
      </x:c>
      <x:c r="C111" s="14" t="str">
        <x:v>CHEFFERIE</x:v>
      </x:c>
      <x:c r="D111" s="14" t="str">
        <x:v>Kapamayi</x:v>
      </x:c>
      <x:c r="E111" s="14"/>
      <x:c r="F111" s="14"/>
      <x:c r="G111" s="14"/>
      <x:c r="H111" s="14"/>
      <x:c r="I111" s="14" t="n">
        <x:v>2018</x:v>
      </x:c>
      <x:c r="J111" s="14" t="str">
        <x:v>S06</x:v>
      </x:c>
      <x:c r="K111" s="14" t="str">
        <x:v>HISTORIQUE_CENI_2018_A_VALIDER</x:v>
      </x:c>
    </x:row>
    <x:row r="112">
      <x:c r="A112" s="14" t="n">
        <x:v>109</x:v>
      </x:c>
      <x:c r="B112" s="14" t="n">
        <x:v>109</x:v>
      </x:c>
      <x:c r="C112" s="14" t="str">
        <x:v>CHEFFERIE</x:v>
      </x:c>
      <x:c r="D112" s="14" t="str">
        <x:v>Kibanda</x:v>
      </x:c>
      <x:c r="E112" s="14"/>
      <x:c r="F112" s="14"/>
      <x:c r="G112" s="14"/>
      <x:c r="H112" s="14"/>
      <x:c r="I112" s="14" t="n">
        <x:v>2018</x:v>
      </x:c>
      <x:c r="J112" s="14" t="str">
        <x:v>S06</x:v>
      </x:c>
      <x:c r="K112" s="14" t="str">
        <x:v>HISTORIQUE_CENI_2018_A_VALIDER</x:v>
      </x:c>
    </x:row>
    <x:row r="113">
      <x:c r="A113" s="14" t="n">
        <x:v>110</x:v>
      </x:c>
      <x:c r="B113" s="14" t="n">
        <x:v>109</x:v>
      </x:c>
      <x:c r="C113" s="14" t="str">
        <x:v>CHEFFERIE</x:v>
      </x:c>
      <x:c r="D113" s="14" t="str">
        <x:v>Kinkondja</x:v>
      </x:c>
      <x:c r="E113" s="14"/>
      <x:c r="F113" s="14"/>
      <x:c r="G113" s="14"/>
      <x:c r="H113" s="14"/>
      <x:c r="I113" s="14" t="n">
        <x:v>2018</x:v>
      </x:c>
      <x:c r="J113" s="14" t="str">
        <x:v>S06</x:v>
      </x:c>
      <x:c r="K113" s="14" t="str">
        <x:v>HISTORIQUE_CENI_2018_A_VALIDER</x:v>
      </x:c>
    </x:row>
    <x:row r="114">
      <x:c r="A114" s="14" t="n">
        <x:v>111</x:v>
      </x:c>
      <x:c r="B114" s="14" t="n">
        <x:v>109</x:v>
      </x:c>
      <x:c r="C114" s="14" t="str">
        <x:v>SECTEUR</x:v>
      </x:c>
      <x:c r="D114" s="14" t="str">
        <x:v>Lualaba</x:v>
      </x:c>
      <x:c r="E114" s="14"/>
      <x:c r="F114" s="14"/>
      <x:c r="G114" s="14"/>
      <x:c r="H114" s="14"/>
      <x:c r="I114" s="14" t="n">
        <x:v>2018</x:v>
      </x:c>
      <x:c r="J114" s="14" t="str">
        <x:v>S06</x:v>
      </x:c>
      <x:c r="K114" s="14" t="str">
        <x:v>HISTORIQUE_CENI_2018_A_VALIDER</x:v>
      </x:c>
    </x:row>
    <x:row r="115">
      <x:c r="A115" s="14" t="n">
        <x:v>112</x:v>
      </x:c>
      <x:c r="B115" s="14" t="n">
        <x:v>109</x:v>
      </x:c>
      <x:c r="C115" s="14" t="str">
        <x:v>CHEFFERIE</x:v>
      </x:c>
      <x:c r="D115" s="14" t="str">
        <x:v>Umpungu</x:v>
      </x:c>
      <x:c r="E115" s="14"/>
      <x:c r="F115" s="14"/>
      <x:c r="G115" s="14"/>
      <x:c r="H115" s="14"/>
      <x:c r="I115" s="14" t="n">
        <x:v>2018</x:v>
      </x:c>
      <x:c r="J115" s="14" t="str">
        <x:v>S06</x:v>
      </x:c>
      <x:c r="K115" s="14" t="str">
        <x:v>HISTORIQUE_CENI_2018_A_VALIDER</x:v>
      </x:c>
    </x:row>
    <x:row r="116">
      <x:c r="A116" s="14" t="n">
        <x:v>113</x:v>
      </x:c>
      <x:c r="B116" s="14" t="n">
        <x:v>17</x:v>
      </x:c>
      <x:c r="C116" s="14" t="str">
        <x:v>SECTEUR</x:v>
      </x:c>
      <x:c r="D116" s="14" t="str">
        <x:v>Dwe</x:v>
      </x:c>
      <x:c r="E116" s="14"/>
      <x:c r="F116" s="14"/>
      <x:c r="G116" s="14"/>
      <x:c r="H116" s="14"/>
      <x:c r="I116" s="14" t="n">
        <x:v>2018</x:v>
      </x:c>
      <x:c r="J116" s="14" t="str">
        <x:v>S06</x:v>
      </x:c>
      <x:c r="K116" s="14" t="str">
        <x:v>HISTORIQUE_CENI_2018_A_VALIDER</x:v>
      </x:c>
    </x:row>
    <x:row r="117">
      <x:c r="A117" s="14" t="n">
        <x:v>114</x:v>
      </x:c>
      <x:c r="B117" s="14" t="n">
        <x:v>17</x:v>
      </x:c>
      <x:c r="C117" s="14" t="str">
        <x:v>SECTEUR</x:v>
      </x:c>
      <x:c r="D117" s="14" t="str">
        <x:v>Imbongo</x:v>
      </x:c>
      <x:c r="E117" s="14"/>
      <x:c r="F117" s="14"/>
      <x:c r="G117" s="14"/>
      <x:c r="H117" s="14"/>
      <x:c r="I117" s="14" t="n">
        <x:v>2018</x:v>
      </x:c>
      <x:c r="J117" s="14" t="str">
        <x:v>S06</x:v>
      </x:c>
      <x:c r="K117" s="14" t="str">
        <x:v>HISTORIQUE_CENI_2018_A_VALIDER</x:v>
      </x:c>
    </x:row>
    <x:row r="118">
      <x:c r="A118" s="14" t="n">
        <x:v>115</x:v>
      </x:c>
      <x:c r="B118" s="14" t="n">
        <x:v>17</x:v>
      </x:c>
      <x:c r="C118" s="14" t="str">
        <x:v>SECTEUR</x:v>
      </x:c>
      <x:c r="D118" s="14" t="str">
        <x:v>Kilunda</x:v>
      </x:c>
      <x:c r="E118" s="14"/>
      <x:c r="F118" s="14"/>
      <x:c r="G118" s="14"/>
      <x:c r="H118" s="14"/>
      <x:c r="I118" s="14" t="n">
        <x:v>2018</x:v>
      </x:c>
      <x:c r="J118" s="14" t="str">
        <x:v>S06</x:v>
      </x:c>
      <x:c r="K118" s="14" t="str">
        <x:v>HISTORIQUE_CENI_2018_A_VALIDER</x:v>
      </x:c>
    </x:row>
    <x:row r="119">
      <x:c r="A119" s="14" t="n">
        <x:v>116</x:v>
      </x:c>
      <x:c r="B119" s="14" t="n">
        <x:v>17</x:v>
      </x:c>
      <x:c r="C119" s="14" t="str">
        <x:v>SECTEUR</x:v>
      </x:c>
      <x:c r="D119" s="14" t="str">
        <x:v>Kipuka</x:v>
      </x:c>
      <x:c r="E119" s="14"/>
      <x:c r="F119" s="14"/>
      <x:c r="G119" s="14"/>
      <x:c r="H119" s="14"/>
      <x:c r="I119" s="14" t="n">
        <x:v>2018</x:v>
      </x:c>
      <x:c r="J119" s="14" t="str">
        <x:v>S06</x:v>
      </x:c>
      <x:c r="K119" s="14" t="str">
        <x:v>HISTORIQUE_CENI_2018_A_VALIDER</x:v>
      </x:c>
    </x:row>
    <x:row r="120">
      <x:c r="A120" s="14" t="n">
        <x:v>117</x:v>
      </x:c>
      <x:c r="B120" s="14" t="n">
        <x:v>17</x:v>
      </x:c>
      <x:c r="C120" s="14" t="str">
        <x:v>SECTEUR</x:v>
      </x:c>
      <x:c r="D120" s="14" t="str">
        <x:v>Kwenge</x:v>
      </x:c>
      <x:c r="E120" s="14"/>
      <x:c r="F120" s="14"/>
      <x:c r="G120" s="14"/>
      <x:c r="H120" s="14"/>
      <x:c r="I120" s="14" t="n">
        <x:v>2018</x:v>
      </x:c>
      <x:c r="J120" s="14" t="str">
        <x:v>S06</x:v>
      </x:c>
      <x:c r="K120" s="14" t="str">
        <x:v>HISTORIQUE_CENI_2018_A_VALIDER</x:v>
      </x:c>
    </x:row>
    <x:row r="121">
      <x:c r="A121" s="14" t="n">
        <x:v>118</x:v>
      </x:c>
      <x:c r="B121" s="14" t="n">
        <x:v>17</x:v>
      </x:c>
      <x:c r="C121" s="14" t="str">
        <x:v>SECTEUR</x:v>
      </x:c>
      <x:c r="D121" s="14" t="str">
        <x:v>Kwilu-Kimbata</x:v>
      </x:c>
      <x:c r="E121" s="14"/>
      <x:c r="F121" s="14"/>
      <x:c r="G121" s="14"/>
      <x:c r="H121" s="14"/>
      <x:c r="I121" s="14" t="n">
        <x:v>2018</x:v>
      </x:c>
      <x:c r="J121" s="14" t="str">
        <x:v>S06</x:v>
      </x:c>
      <x:c r="K121" s="14" t="str">
        <x:v>HISTORIQUE_CENI_2018_A_VALIDER</x:v>
      </x:c>
    </x:row>
    <x:row r="122">
      <x:c r="A122" s="14" t="n">
        <x:v>119</x:v>
      </x:c>
      <x:c r="B122" s="14" t="n">
        <x:v>17</x:v>
      </x:c>
      <x:c r="C122" s="14" t="str">
        <x:v>SECTEUR</x:v>
      </x:c>
      <x:c r="D122" s="14" t="str">
        <x:v>Luniungu</x:v>
      </x:c>
      <x:c r="E122" s="14"/>
      <x:c r="F122" s="14"/>
      <x:c r="G122" s="14"/>
      <x:c r="H122" s="14"/>
      <x:c r="I122" s="14" t="n">
        <x:v>2018</x:v>
      </x:c>
      <x:c r="J122" s="14" t="str">
        <x:v>S06</x:v>
      </x:c>
      <x:c r="K122" s="14" t="str">
        <x:v>HISTORIQUE_CENI_2018_A_VALIDER</x:v>
      </x:c>
    </x:row>
    <x:row r="123">
      <x:c r="A123" s="14" t="n">
        <x:v>120</x:v>
      </x:c>
      <x:c r="B123" s="14" t="n">
        <x:v>17</x:v>
      </x:c>
      <x:c r="C123" s="14" t="str">
        <x:v>SECTEUR</x:v>
      </x:c>
      <x:c r="D123" s="14" t="str">
        <x:v>Mikwi</x:v>
      </x:c>
      <x:c r="E123" s="14"/>
      <x:c r="F123" s="14"/>
      <x:c r="G123" s="14"/>
      <x:c r="H123" s="14"/>
      <x:c r="I123" s="14" t="n">
        <x:v>2018</x:v>
      </x:c>
      <x:c r="J123" s="14" t="str">
        <x:v>S06</x:v>
      </x:c>
      <x:c r="K123" s="14" t="str">
        <x:v>HISTORIQUE_CENI_2018_A_VALIDER</x:v>
      </x:c>
    </x:row>
    <x:row r="124">
      <x:c r="A124" s="14" t="n">
        <x:v>121</x:v>
      </x:c>
      <x:c r="B124" s="14" t="n">
        <x:v>17</x:v>
      </x:c>
      <x:c r="C124" s="14" t="str">
        <x:v>SECTEUR</x:v>
      </x:c>
      <x:c r="D124" s="14" t="str">
        <x:v>Niadi Nkara</x:v>
      </x:c>
      <x:c r="E124" s="14"/>
      <x:c r="F124" s="14"/>
      <x:c r="G124" s="14"/>
      <x:c r="H124" s="14"/>
      <x:c r="I124" s="14" t="n">
        <x:v>2018</x:v>
      </x:c>
      <x:c r="J124" s="14" t="str">
        <x:v>S06</x:v>
      </x:c>
      <x:c r="K124" s="14" t="str">
        <x:v>HISTORIQUE_CENI_2018_A_VALIDER</x:v>
      </x:c>
    </x:row>
    <x:row r="125">
      <x:c r="A125" s="14" t="n">
        <x:v>122</x:v>
      </x:c>
      <x:c r="B125" s="14" t="n">
        <x:v>17</x:v>
      </x:c>
      <x:c r="C125" s="14" t="str">
        <x:v>SECTEUR</x:v>
      </x:c>
      <x:c r="D125" s="14" t="str">
        <x:v>Nko</x:v>
      </x:c>
      <x:c r="E125" s="14"/>
      <x:c r="F125" s="14"/>
      <x:c r="G125" s="14"/>
      <x:c r="H125" s="14"/>
      <x:c r="I125" s="14" t="n">
        <x:v>2018</x:v>
      </x:c>
      <x:c r="J125" s="14" t="str">
        <x:v>S06</x:v>
      </x:c>
      <x:c r="K125" s="14" t="str">
        <x:v>HISTORIQUE_CENI_2018_A_VALIDER</x:v>
      </x:c>
    </x:row>
    <x:row r="126">
      <x:c r="A126" s="14" t="n">
        <x:v>123</x:v>
      </x:c>
      <x:c r="B126" s="14" t="n">
        <x:v>45</x:v>
      </x:c>
      <x:c r="C126" s="14" t="str">
        <x:v>SECTEUR</x:v>
      </x:c>
      <x:c r="D126" s="14" t="str">
        <x:v>Banda Yowa</x:v>
      </x:c>
      <x:c r="E126" s="14"/>
      <x:c r="F126" s="14"/>
      <x:c r="G126" s="14"/>
      <x:c r="H126" s="14"/>
      <x:c r="I126" s="14" t="n">
        <x:v>2018</x:v>
      </x:c>
      <x:c r="J126" s="14" t="str">
        <x:v>S06</x:v>
      </x:c>
      <x:c r="K126" s="14" t="str">
        <x:v>HISTORIQUE_CENI_2018_A_VALIDER</x:v>
      </x:c>
    </x:row>
    <x:row r="127">
      <x:c r="A127" s="14" t="n">
        <x:v>124</x:v>
      </x:c>
      <x:c r="B127" s="14" t="n">
        <x:v>45</x:v>
      </x:c>
      <x:c r="C127" s="14" t="str">
        <x:v>SECTEUR</x:v>
      </x:c>
      <x:c r="D127" s="14" t="str">
        <x:v>Itimbiri</x:v>
      </x:c>
      <x:c r="E127" s="14"/>
      <x:c r="F127" s="14"/>
      <x:c r="G127" s="14"/>
      <x:c r="H127" s="14"/>
      <x:c r="I127" s="14" t="n">
        <x:v>2018</x:v>
      </x:c>
      <x:c r="J127" s="14" t="str">
        <x:v>S06</x:v>
      </x:c>
      <x:c r="K127" s="14" t="str">
        <x:v>HISTORIQUE_CENI_2018_A_VALIDER</x:v>
      </x:c>
    </x:row>
    <x:row r="128">
      <x:c r="A128" s="14" t="n">
        <x:v>125</x:v>
      </x:c>
      <x:c r="B128" s="14" t="n">
        <x:v>45</x:v>
      </x:c>
      <x:c r="C128" s="14" t="str">
        <x:v>SECTEUR</x:v>
      </x:c>
      <x:c r="D128" s="14" t="str">
        <x:v>Loeka</x:v>
      </x:c>
      <x:c r="E128" s="14"/>
      <x:c r="F128" s="14"/>
      <x:c r="G128" s="14"/>
      <x:c r="H128" s="14"/>
      <x:c r="I128" s="14" t="n">
        <x:v>2018</x:v>
      </x:c>
      <x:c r="J128" s="14" t="str">
        <x:v>S06</x:v>
      </x:c>
      <x:c r="K128" s="14" t="str">
        <x:v>HISTORIQUE_CENI_2018_A_VALIDER</x:v>
      </x:c>
    </x:row>
    <x:row r="129">
      <x:c r="A129" s="14" t="n">
        <x:v>126</x:v>
      </x:c>
      <x:c r="B129" s="14" t="n">
        <x:v>45</x:v>
      </x:c>
      <x:c r="C129" s="14" t="str">
        <x:v>SECTEUR</x:v>
      </x:c>
      <x:c r="D129" s="14" t="str">
        <x:v>Molua</x:v>
      </x:c>
      <x:c r="E129" s="14"/>
      <x:c r="F129" s="14"/>
      <x:c r="G129" s="14"/>
      <x:c r="H129" s="14"/>
      <x:c r="I129" s="14" t="n">
        <x:v>2018</x:v>
      </x:c>
      <x:c r="J129" s="14" t="str">
        <x:v>S06</x:v>
      </x:c>
      <x:c r="K129" s="14" t="str">
        <x:v>HISTORIQUE_CENI_2018_A_VALIDER</x:v>
      </x:c>
    </x:row>
    <x:row r="130">
      <x:c r="A130" s="14" t="n">
        <x:v>127</x:v>
      </x:c>
      <x:c r="B130" s="14" t="n">
        <x:v>45</x:v>
      </x:c>
      <x:c r="C130" s="14" t="str">
        <x:v>SECTEUR</x:v>
      </x:c>
      <x:c r="D130" s="14" t="str">
        <x:v>Monzamboli</x:v>
      </x:c>
      <x:c r="E130" s="14"/>
      <x:c r="F130" s="14"/>
      <x:c r="G130" s="14"/>
      <x:c r="H130" s="14"/>
      <x:c r="I130" s="14" t="n">
        <x:v>2018</x:v>
      </x:c>
      <x:c r="J130" s="14" t="str">
        <x:v>S06</x:v>
      </x:c>
      <x:c r="K130" s="14" t="str">
        <x:v>HISTORIQUE_CENI_2018_A_VALIDER</x:v>
      </x:c>
    </x:row>
    <x:row r="131">
      <x:c r="A131" s="14" t="n">
        <x:v>128</x:v>
      </x:c>
      <x:c r="B131" s="14" t="n">
        <x:v>45</x:v>
      </x:c>
      <x:c r="C131" s="14" t="str">
        <x:v>SECTEUR</x:v>
      </x:c>
      <x:c r="D131" s="14" t="str">
        <x:v>Yandongi</x:v>
      </x:c>
      <x:c r="E131" s="14"/>
      <x:c r="F131" s="14"/>
      <x:c r="G131" s="14"/>
      <x:c r="H131" s="14"/>
      <x:c r="I131" s="14" t="n">
        <x:v>2018</x:v>
      </x:c>
      <x:c r="J131" s="14" t="str">
        <x:v>S06</x:v>
      </x:c>
      <x:c r="K131" s="14" t="str">
        <x:v>HISTORIQUE_CENI_2018_A_VALIDER</x:v>
      </x:c>
    </x:row>
    <x:row r="132">
      <x:c r="A132" s="14" t="n">
        <x:v>129</x:v>
      </x:c>
      <x:c r="B132" s="14" t="n">
        <x:v>41</x:v>
      </x:c>
      <x:c r="C132" s="14" t="str">
        <x:v>SECTEUR</x:v>
      </x:c>
      <x:c r="D132" s="14" t="str">
        <x:v>Bodangabo</x:v>
      </x:c>
      <x:c r="E132" s="14"/>
      <x:c r="F132" s="14"/>
      <x:c r="G132" s="14"/>
      <x:c r="H132" s="14"/>
      <x:c r="I132" s="14" t="n">
        <x:v>2018</x:v>
      </x:c>
      <x:c r="J132" s="14" t="str">
        <x:v>S06</x:v>
      </x:c>
      <x:c r="K132" s="14" t="str">
        <x:v>HISTORIQUE_CENI_2018_A_VALIDER</x:v>
      </x:c>
    </x:row>
    <x:row r="133">
      <x:c r="A133" s="14" t="n">
        <x:v>130</x:v>
      </x:c>
      <x:c r="B133" s="14" t="n">
        <x:v>41</x:v>
      </x:c>
      <x:c r="C133" s="14" t="str">
        <x:v>SECTEUR</x:v>
      </x:c>
      <x:c r="D133" s="14" t="str">
        <x:v>Businga</x:v>
      </x:c>
      <x:c r="E133" s="14"/>
      <x:c r="F133" s="14"/>
      <x:c r="G133" s="14"/>
      <x:c r="H133" s="14"/>
      <x:c r="I133" s="14" t="n">
        <x:v>2018</x:v>
      </x:c>
      <x:c r="J133" s="14" t="str">
        <x:v>S06</x:v>
      </x:c>
      <x:c r="K133" s="14" t="str">
        <x:v>HISTORIQUE_CENI_2018_A_VALIDER</x:v>
      </x:c>
    </x:row>
    <x:row r="134">
      <x:c r="A134" s="14" t="n">
        <x:v>131</x:v>
      </x:c>
      <x:c r="B134" s="14" t="n">
        <x:v>41</x:v>
      </x:c>
      <x:c r="C134" s="14" t="str">
        <x:v>SECTEUR</x:v>
      </x:c>
      <x:c r="D134" s="14" t="str">
        <x:v>Karawa</x:v>
      </x:c>
      <x:c r="E134" s="14"/>
      <x:c r="F134" s="14"/>
      <x:c r="G134" s="14"/>
      <x:c r="H134" s="14"/>
      <x:c r="I134" s="14" t="n">
        <x:v>2018</x:v>
      </x:c>
      <x:c r="J134" s="14" t="str">
        <x:v>S06</x:v>
      </x:c>
      <x:c r="K134" s="14" t="str">
        <x:v>HISTORIQUE_CENI_2018_A_VALIDER</x:v>
      </x:c>
    </x:row>
    <x:row r="135">
      <x:c r="A135" s="14" t="n">
        <x:v>132</x:v>
      </x:c>
      <x:c r="B135" s="14" t="n">
        <x:v>64</x:v>
      </x:c>
      <x:c r="C135" s="14" t="str">
        <x:v>CHEFFERIE</x:v>
      </x:c>
      <x:c r="D135" s="14" t="str">
        <x:v>Barisi-Mongingita</x:v>
      </x:c>
      <x:c r="E135" s="14"/>
      <x:c r="F135" s="14"/>
      <x:c r="G135" s="14"/>
      <x:c r="H135" s="14"/>
      <x:c r="I135" s="14" t="n">
        <x:v>2018</x:v>
      </x:c>
      <x:c r="J135" s="14" t="str">
        <x:v>S06</x:v>
      </x:c>
      <x:c r="K135" s="14" t="str">
        <x:v>HISTORIQUE_CENI_2018_A_VALIDER</x:v>
      </x:c>
    </x:row>
    <x:row r="136">
      <x:c r="A136" s="14" t="n">
        <x:v>133</x:v>
      </x:c>
      <x:c r="B136" s="14" t="n">
        <x:v>64</x:v>
      </x:c>
      <x:c r="C136" s="14" t="str">
        <x:v>CHEFFERIE</x:v>
      </x:c>
      <x:c r="D136" s="14" t="str">
        <x:v>Bayeu-Bogongia</x:v>
      </x:c>
      <x:c r="E136" s="14"/>
      <x:c r="F136" s="14"/>
      <x:c r="G136" s="14"/>
      <x:c r="H136" s="14"/>
      <x:c r="I136" s="14" t="n">
        <x:v>2018</x:v>
      </x:c>
      <x:c r="J136" s="14" t="str">
        <x:v>S06</x:v>
      </x:c>
      <x:c r="K136" s="14" t="str">
        <x:v>HISTORIQUE_CENI_2018_A_VALIDER</x:v>
      </x:c>
    </x:row>
    <x:row r="137">
      <x:c r="A137" s="14" t="n">
        <x:v>134</x:v>
      </x:c>
      <x:c r="B137" s="14" t="n">
        <x:v>64</x:v>
      </x:c>
      <x:c r="C137" s="14" t="str">
        <x:v>CHEFFERIE</x:v>
      </x:c>
      <x:c r="D137" s="14" t="str">
        <x:v>Bayeu-Bogbama</x:v>
      </x:c>
      <x:c r="E137" s="14"/>
      <x:c r="F137" s="14"/>
      <x:c r="G137" s="14"/>
      <x:c r="H137" s="14"/>
      <x:c r="I137" s="14" t="n">
        <x:v>2018</x:v>
      </x:c>
      <x:c r="J137" s="14" t="str">
        <x:v>S06</x:v>
      </x:c>
      <x:c r="K137" s="14" t="str">
        <x:v>HISTORIQUE_CENI_2018_A_VALIDER</x:v>
      </x:c>
    </x:row>
    <x:row r="138">
      <x:c r="A138" s="14" t="n">
        <x:v>135</x:v>
      </x:c>
      <x:c r="B138" s="14" t="n">
        <x:v>64</x:v>
      </x:c>
      <x:c r="C138" s="14" t="str">
        <x:v>CHEFFERIE</x:v>
      </x:c>
      <x:c r="D138" s="14" t="str">
        <x:v>Mobati</x:v>
      </x:c>
      <x:c r="E138" s="14"/>
      <x:c r="F138" s="14"/>
      <x:c r="G138" s="14"/>
      <x:c r="H138" s="14"/>
      <x:c r="I138" s="14" t="n">
        <x:v>2018</x:v>
      </x:c>
      <x:c r="J138" s="14" t="str">
        <x:v>S06</x:v>
      </x:c>
      <x:c r="K138" s="14" t="str">
        <x:v>HISTORIQUE_CENI_2018_A_VALIDER</x:v>
      </x:c>
    </x:row>
    <x:row r="139">
      <x:c r="A139" s="14" t="n">
        <x:v>136</x:v>
      </x:c>
      <x:c r="B139" s="14" t="n">
        <x:v>64</x:v>
      </x:c>
      <x:c r="C139" s="14" t="str">
        <x:v>CHEFFERIE</x:v>
      </x:c>
      <x:c r="D139" s="14" t="str">
        <x:v>Monganzolo</x:v>
      </x:c>
      <x:c r="E139" s="14"/>
      <x:c r="F139" s="14"/>
      <x:c r="G139" s="14"/>
      <x:c r="H139" s="14"/>
      <x:c r="I139" s="14" t="n">
        <x:v>2018</x:v>
      </x:c>
      <x:c r="J139" s="14" t="str">
        <x:v>S06</x:v>
      </x:c>
      <x:c r="K139" s="14" t="str">
        <x:v>HISTORIQUE_CENI_2018_A_VALIDER</x:v>
      </x:c>
    </x:row>
    <x:row r="140">
      <x:c r="A140" s="14" t="n">
        <x:v>137</x:v>
      </x:c>
      <x:c r="B140" s="14" t="n">
        <x:v>64</x:v>
      </x:c>
      <x:c r="C140" s="14" t="str">
        <x:v>CHEFFERIE</x:v>
      </x:c>
      <x:c r="D140" s="14" t="str">
        <x:v>Nguru</x:v>
      </x:c>
      <x:c r="E140" s="14"/>
      <x:c r="F140" s="14"/>
      <x:c r="G140" s="14"/>
      <x:c r="H140" s="14"/>
      <x:c r="I140" s="14" t="n">
        <x:v>2018</x:v>
      </x:c>
      <x:c r="J140" s="14" t="str">
        <x:v>S06</x:v>
      </x:c>
      <x:c r="K140" s="14" t="str">
        <x:v>HISTORIQUE_CENI_2018_A_VALIDER</x:v>
      </x:c>
    </x:row>
    <x:row r="141">
      <x:c r="A141" s="14" t="n">
        <x:v>138</x:v>
      </x:c>
      <x:c r="B141" s="14" t="n">
        <x:v>141</x:v>
      </x:c>
      <x:c r="C141" s="14" t="str">
        <x:v>CHEFFERIE</x:v>
      </x:c>
      <x:c r="D141" s="14" t="str">
        <x:v>Ndengese-Ikolombe</x:v>
      </x:c>
      <x:c r="E141" s="14"/>
      <x:c r="F141" s="14"/>
      <x:c r="G141" s="14"/>
      <x:c r="H141" s="14"/>
      <x:c r="I141" s="14" t="n">
        <x:v>2018</x:v>
      </x:c>
      <x:c r="J141" s="14" t="str">
        <x:v>S06</x:v>
      </x:c>
      <x:c r="K141" s="14" t="str">
        <x:v>HISTORIQUE_CENI_2018_A_VALIDER</x:v>
      </x:c>
    </x:row>
    <x:row r="142">
      <x:c r="A142" s="14" t="n">
        <x:v>139</x:v>
      </x:c>
      <x:c r="B142" s="14" t="n">
        <x:v>141</x:v>
      </x:c>
      <x:c r="C142" s="14" t="str">
        <x:v>CHEFFERIE</x:v>
      </x:c>
      <x:c r="D142" s="14" t="str">
        <x:v>Yaelima</x:v>
      </x:c>
      <x:c r="E142" s="14"/>
      <x:c r="F142" s="14"/>
      <x:c r="G142" s="14"/>
      <x:c r="H142" s="14"/>
      <x:c r="I142" s="14" t="n">
        <x:v>2018</x:v>
      </x:c>
      <x:c r="J142" s="14" t="str">
        <x:v>S06</x:v>
      </x:c>
      <x:c r="K142" s="14" t="str">
        <x:v>HISTORIQUE_CENI_2018_A_VALIDER</x:v>
      </x:c>
    </x:row>
    <x:row r="143">
      <x:c r="A143" s="14" t="n">
        <x:v>140</x:v>
      </x:c>
      <x:c r="B143" s="14" t="n">
        <x:v>136</x:v>
      </x:c>
      <x:c r="C143" s="14" t="str">
        <x:v>SECTEUR</x:v>
      </x:c>
      <x:c r="D143" s="14" t="str">
        <x:v>Diofwa</x:v>
      </x:c>
      <x:c r="E143" s="14"/>
      <x:c r="F143" s="14"/>
      <x:c r="G143" s="14"/>
      <x:c r="H143" s="14"/>
      <x:c r="I143" s="14" t="n">
        <x:v>2018</x:v>
      </x:c>
      <x:c r="J143" s="14" t="str">
        <x:v>S06</x:v>
      </x:c>
      <x:c r="K143" s="14" t="str">
        <x:v>HISTORIQUE_CENI_2018_A_VALIDER</x:v>
      </x:c>
    </x:row>
    <x:row r="144">
      <x:c r="A144" s="14" t="n">
        <x:v>141</x:v>
      </x:c>
      <x:c r="B144" s="14" t="n">
        <x:v>136</x:v>
      </x:c>
      <x:c r="C144" s="14" t="str">
        <x:v>SECTEUR</x:v>
      </x:c>
      <x:c r="D144" s="14" t="str">
        <x:v>Lombelo</x:v>
      </x:c>
      <x:c r="E144" s="14"/>
      <x:c r="F144" s="14"/>
      <x:c r="G144" s="14"/>
      <x:c r="H144" s="14"/>
      <x:c r="I144" s="14" t="n">
        <x:v>2018</x:v>
      </x:c>
      <x:c r="J144" s="14" t="str">
        <x:v>S06</x:v>
      </x:c>
      <x:c r="K144" s="14" t="str">
        <x:v>HISTORIQUE_CENI_2018_A_VALIDER</x:v>
      </x:c>
    </x:row>
    <x:row r="145">
      <x:c r="A145" s="14" t="n">
        <x:v>142</x:v>
      </x:c>
      <x:c r="B145" s="14" t="n">
        <x:v>136</x:v>
      </x:c>
      <x:c r="C145" s="14" t="str">
        <x:v>SECTEUR</x:v>
      </x:c>
      <x:c r="D145" s="14" t="str">
        <x:v>Lusonge</x:v>
      </x:c>
      <x:c r="E145" s="14"/>
      <x:c r="F145" s="14"/>
      <x:c r="G145" s="14"/>
      <x:c r="H145" s="14"/>
      <x:c r="I145" s="14" t="n">
        <x:v>2018</x:v>
      </x:c>
      <x:c r="J145" s="14" t="str">
        <x:v>S06</x:v>
      </x:c>
      <x:c r="K145" s="14" t="str">
        <x:v>HISTORIQUE_CENI_2018_A_VALIDER</x:v>
      </x:c>
    </x:row>
    <x:row r="146">
      <x:c r="A146" s="14" t="n">
        <x:v>143</x:v>
      </x:c>
      <x:c r="B146" s="14" t="n">
        <x:v>136</x:v>
      </x:c>
      <x:c r="C146" s="14" t="str">
        <x:v>SECTEUR</x:v>
      </x:c>
      <x:c r="D146" s="14" t="str">
        <x:v>Bena-Mamba</x:v>
      </x:c>
      <x:c r="E146" s="14"/>
      <x:c r="F146" s="14"/>
      <x:c r="G146" s="14"/>
      <x:c r="H146" s="14"/>
      <x:c r="I146" s="14" t="n">
        <x:v>2018</x:v>
      </x:c>
      <x:c r="J146" s="14" t="str">
        <x:v>S06</x:v>
      </x:c>
      <x:c r="K146" s="14" t="str">
        <x:v>HISTORIQUE_CENI_2018_A_VALIDER</x:v>
      </x:c>
    </x:row>
    <x:row r="147">
      <x:c r="A147" s="14" t="n">
        <x:v>144</x:v>
      </x:c>
      <x:c r="B147" s="14" t="n">
        <x:v>136</x:v>
      </x:c>
      <x:c r="C147" s="14" t="str">
        <x:v>SECTEUR</x:v>
      </x:c>
      <x:c r="D147" s="14" t="str">
        <x:v>Muanza-Ngoma</x:v>
      </x:c>
      <x:c r="E147" s="14"/>
      <x:c r="F147" s="14"/>
      <x:c r="G147" s="14"/>
      <x:c r="H147" s="14"/>
      <x:c r="I147" s="14" t="n">
        <x:v>2018</x:v>
      </x:c>
      <x:c r="J147" s="14" t="str">
        <x:v>S06</x:v>
      </x:c>
      <x:c r="K147" s="14" t="str">
        <x:v>HISTORIQUE_CENI_2018_A_VALIDER</x:v>
      </x:c>
    </x:row>
    <x:row r="148">
      <x:c r="A148" s="14" t="n">
        <x:v>145</x:v>
      </x:c>
      <x:c r="B148" s="14" t="n">
        <x:v>136</x:v>
      </x:c>
      <x:c r="C148" s="14" t="str">
        <x:v>SECTEUR</x:v>
      </x:c>
      <x:c r="D148" s="14" t="str">
        <x:v>Tshibote</x:v>
      </x:c>
      <x:c r="E148" s="14"/>
      <x:c r="F148" s="14"/>
      <x:c r="G148" s="14"/>
      <x:c r="H148" s="14"/>
      <x:c r="I148" s="14" t="n">
        <x:v>2018</x:v>
      </x:c>
      <x:c r="J148" s="14" t="str">
        <x:v>S06</x:v>
      </x:c>
      <x:c r="K148" s="14" t="str">
        <x:v>HISTORIQUE_CENI_2018_A_VALIDER</x:v>
      </x:c>
    </x:row>
    <x:row r="149">
      <x:c r="A149" s="14" t="n">
        <x:v>146</x:v>
      </x:c>
      <x:c r="B149" s="14" t="n">
        <x:v>136</x:v>
      </x:c>
      <x:c r="C149" s="14" t="str">
        <x:v>SECTEUR</x:v>
      </x:c>
      <x:c r="D149" s="14" t="str">
        <x:v>Tshibungu</x:v>
      </x:c>
      <x:c r="E149" s="14"/>
      <x:c r="F149" s="14"/>
      <x:c r="G149" s="14"/>
      <x:c r="H149" s="14"/>
      <x:c r="I149" s="14" t="n">
        <x:v>2018</x:v>
      </x:c>
      <x:c r="J149" s="14" t="str">
        <x:v>S06</x:v>
      </x:c>
      <x:c r="K149" s="14" t="str">
        <x:v>HISTORIQUE_CENI_2018_A_VALIDER</x:v>
      </x:c>
    </x:row>
    <x:row r="150">
      <x:c r="A150" s="14" t="n">
        <x:v>147</x:v>
      </x:c>
      <x:c r="B150" s="14" t="n">
        <x:v>137</x:v>
      </x:c>
      <x:c r="C150" s="14" t="str">
        <x:v>SECTEUR</x:v>
      </x:c>
      <x:c r="D150" s="14" t="str">
        <x:v>Dibanda</x:v>
      </x:c>
      <x:c r="E150" s="14"/>
      <x:c r="F150" s="14"/>
      <x:c r="G150" s="14"/>
      <x:c r="H150" s="14"/>
      <x:c r="I150" s="14" t="n">
        <x:v>2018</x:v>
      </x:c>
      <x:c r="J150" s="14" t="str">
        <x:v>S06</x:v>
      </x:c>
      <x:c r="K150" s="14" t="str">
        <x:v>HISTORIQUE_CENI_2018_A_VALIDER</x:v>
      </x:c>
    </x:row>
    <x:row r="151">
      <x:c r="A151" s="14" t="n">
        <x:v>148</x:v>
      </x:c>
      <x:c r="B151" s="14" t="n">
        <x:v>137</x:v>
      </x:c>
      <x:c r="C151" s="14" t="str">
        <x:v>SECTEUR</x:v>
      </x:c>
      <x:c r="D151" s="14" t="str">
        <x:v>Dibataie</x:v>
      </x:c>
      <x:c r="E151" s="14"/>
      <x:c r="F151" s="14"/>
      <x:c r="G151" s="14"/>
      <x:c r="H151" s="14"/>
      <x:c r="I151" s="14" t="n">
        <x:v>2018</x:v>
      </x:c>
      <x:c r="J151" s="14" t="str">
        <x:v>S06</x:v>
      </x:c>
      <x:c r="K151" s="14" t="str">
        <x:v>HISTORIQUE_CENI_2018_A_VALIDER</x:v>
      </x:c>
    </x:row>
    <x:row r="152">
      <x:c r="A152" s="14" t="n">
        <x:v>149</x:v>
      </x:c>
      <x:c r="B152" s="14" t="n">
        <x:v>137</x:v>
      </x:c>
      <x:c r="C152" s="14" t="str">
        <x:v>SECTEUR</x:v>
      </x:c>
      <x:c r="D152" s="14" t="str">
        <x:v>Kamwandu</x:v>
      </x:c>
      <x:c r="E152" s="14"/>
      <x:c r="F152" s="14"/>
      <x:c r="G152" s="14"/>
      <x:c r="H152" s="14"/>
      <x:c r="I152" s="14" t="n">
        <x:v>2018</x:v>
      </x:c>
      <x:c r="J152" s="14" t="str">
        <x:v>S06</x:v>
      </x:c>
      <x:c r="K152" s="14" t="str">
        <x:v>HISTORIQUE_CENI_2018_A_VALIDER</x:v>
      </x:c>
    </x:row>
    <x:row r="153">
      <x:c r="A153" s="14" t="n">
        <x:v>150</x:v>
      </x:c>
      <x:c r="B153" s="14" t="n">
        <x:v>137</x:v>
      </x:c>
      <x:c r="C153" s="14" t="str">
        <x:v>SECTEUR</x:v>
      </x:c>
      <x:c r="D153" s="14" t="str">
        <x:v>Kasangidi</x:v>
      </x:c>
      <x:c r="E153" s="14"/>
      <x:c r="F153" s="14"/>
      <x:c r="G153" s="14"/>
      <x:c r="H153" s="14"/>
      <x:c r="I153" s="14" t="n">
        <x:v>2018</x:v>
      </x:c>
      <x:c r="J153" s="14" t="str">
        <x:v>S06</x:v>
      </x:c>
      <x:c r="K153" s="14" t="str">
        <x:v>HISTORIQUE_CENI_2018_A_VALIDER</x:v>
      </x:c>
    </x:row>
    <x:row r="154">
      <x:c r="A154" s="14" t="n">
        <x:v>151</x:v>
      </x:c>
      <x:c r="B154" s="14" t="n">
        <x:v>137</x:v>
      </x:c>
      <x:c r="C154" s="14" t="str">
        <x:v>SECTEUR</x:v>
      </x:c>
      <x:c r="D154" s="14" t="str">
        <x:v>Tshishilu</x:v>
      </x:c>
      <x:c r="E154" s="14"/>
      <x:c r="F154" s="14"/>
      <x:c r="G154" s="14"/>
      <x:c r="H154" s="14"/>
      <x:c r="I154" s="14" t="n">
        <x:v>2018</x:v>
      </x:c>
      <x:c r="J154" s="14" t="str">
        <x:v>S06</x:v>
      </x:c>
      <x:c r="K154" s="14" t="str">
        <x:v>HISTORIQUE_CENI_2018_A_VALIDER</x:v>
      </x:c>
    </x:row>
    <x:row r="155">
      <x:c r="A155" s="14" t="n">
        <x:v>152</x:v>
      </x:c>
      <x:c r="B155" s="14" t="n">
        <x:v>104</x:v>
      </x:c>
      <x:c r="C155" s="14" t="str">
        <x:v>SECTEUR</x:v>
      </x:c>
      <x:c r="D155" s="14" t="str">
        <x:v>Luena</x:v>
      </x:c>
      <x:c r="E155" s="14"/>
      <x:c r="F155" s="14"/>
      <x:c r="G155" s="14"/>
      <x:c r="H155" s="14"/>
      <x:c r="I155" s="14" t="n">
        <x:v>2018</x:v>
      </x:c>
      <x:c r="J155" s="14" t="str">
        <x:v>S06</x:v>
      </x:c>
      <x:c r="K155" s="14" t="str">
        <x:v>HISTORIQUE_CENI_2018_A_VALIDER</x:v>
      </x:c>
    </x:row>
    <x:row r="156">
      <x:c r="A156" s="14" t="n">
        <x:v>153</x:v>
      </x:c>
      <x:c r="B156" s="14" t="n">
        <x:v>104</x:v>
      </x:c>
      <x:c r="C156" s="14" t="str">
        <x:v>SECTEUR</x:v>
      </x:c>
      <x:c r="D156" s="14" t="str">
        <x:v>Lulua-Lukoshi</x:v>
      </x:c>
      <x:c r="E156" s="14"/>
      <x:c r="F156" s="14"/>
      <x:c r="G156" s="14"/>
      <x:c r="H156" s="14"/>
      <x:c r="I156" s="14" t="n">
        <x:v>2018</x:v>
      </x:c>
      <x:c r="J156" s="14" t="str">
        <x:v>S06</x:v>
      </x:c>
      <x:c r="K156" s="14" t="str">
        <x:v>HISTORIQUE_CENI_2018_A_VALIDER</x:v>
      </x:c>
    </x:row>
    <x:row r="157">
      <x:c r="A157" s="14" t="n">
        <x:v>154</x:v>
      </x:c>
      <x:c r="B157" s="14" t="n">
        <x:v>104</x:v>
      </x:c>
      <x:c r="C157" s="14" t="str">
        <x:v>SECTEUR</x:v>
      </x:c>
      <x:c r="D157" s="14" t="str">
        <x:v>Mutanda</x:v>
      </x:c>
      <x:c r="E157" s="14"/>
      <x:c r="F157" s="14"/>
      <x:c r="G157" s="14"/>
      <x:c r="H157" s="14"/>
      <x:c r="I157" s="14" t="n">
        <x:v>2018</x:v>
      </x:c>
      <x:c r="J157" s="14" t="str">
        <x:v>S06</x:v>
      </x:c>
      <x:c r="K157" s="14" t="str">
        <x:v>HISTORIQUE_CENI_2018_A_VALIDER</x:v>
      </x:c>
    </x:row>
    <x:row r="158">
      <x:c r="A158" s="14" t="n">
        <x:v>155</x:v>
      </x:c>
      <x:c r="B158" s="14" t="n">
        <x:v>104</x:v>
      </x:c>
      <x:c r="C158" s="14" t="str">
        <x:v>CHEFFERIE</x:v>
      </x:c>
      <x:c r="D158" s="14" t="str">
        <x:v>Muyeye</x:v>
      </x:c>
      <x:c r="E158" s="14"/>
      <x:c r="F158" s="14"/>
      <x:c r="G158" s="14"/>
      <x:c r="H158" s="14"/>
      <x:c r="I158" s="14" t="n">
        <x:v>2018</x:v>
      </x:c>
      <x:c r="J158" s="14" t="str">
        <x:v>S06</x:v>
      </x:c>
      <x:c r="K158" s="14" t="str">
        <x:v>HISTORIQUE_CENI_2018_A_VALIDER</x:v>
      </x:c>
    </x:row>
    <x:row r="159">
      <x:c r="A159" s="14" t="n">
        <x:v>156</x:v>
      </x:c>
      <x:c r="B159" s="14" t="n">
        <x:v>104</x:v>
      </x:c>
      <x:c r="C159" s="14" t="str">
        <x:v>CHEFFERIE</x:v>
      </x:c>
      <x:c r="D159" s="14" t="str">
        <x:v>Mwakandala</x:v>
      </x:c>
      <x:c r="E159" s="14"/>
      <x:c r="F159" s="14"/>
      <x:c r="G159" s="14"/>
      <x:c r="H159" s="14"/>
      <x:c r="I159" s="14" t="n">
        <x:v>2018</x:v>
      </x:c>
      <x:c r="J159" s="14" t="str">
        <x:v>S06</x:v>
      </x:c>
      <x:c r="K159" s="14" t="str">
        <x:v>HISTORIQUE_CENI_2018_A_VALIDER</x:v>
      </x:c>
    </x:row>
    <x:row r="160">
      <x:c r="A160" s="14" t="n">
        <x:v>157</x:v>
      </x:c>
      <x:c r="B160" s="14" t="n">
        <x:v>104</x:v>
      </x:c>
      <x:c r="C160" s="14" t="str">
        <x:v>CHEFFERIE</x:v>
      </x:c>
      <x:c r="D160" s="14" t="str">
        <x:v>Mwatshisenge</x:v>
      </x:c>
      <x:c r="E160" s="14"/>
      <x:c r="F160" s="14"/>
      <x:c r="G160" s="14"/>
      <x:c r="H160" s="14"/>
      <x:c r="I160" s="14" t="n">
        <x:v>2018</x:v>
      </x:c>
      <x:c r="J160" s="14" t="str">
        <x:v>S06</x:v>
      </x:c>
      <x:c r="K160" s="14" t="str">
        <x:v>HISTORIQUE_CENI_2018_A_VALIDER</x:v>
      </x:c>
    </x:row>
    <x:row r="161">
      <x:c r="A161" s="14" t="n">
        <x:v>158</x:v>
      </x:c>
      <x:c r="B161" s="14" t="n">
        <x:v>104</x:v>
      </x:c>
      <x:c r="C161" s="14" t="str">
        <x:v>CHEFFERIE</x:v>
      </x:c>
      <x:c r="D161" s="14" t="str">
        <x:v>Ndumba</x:v>
      </x:c>
      <x:c r="E161" s="14"/>
      <x:c r="F161" s="14"/>
      <x:c r="G161" s="14"/>
      <x:c r="H161" s="14"/>
      <x:c r="I161" s="14" t="n">
        <x:v>2018</x:v>
      </x:c>
      <x:c r="J161" s="14" t="str">
        <x:v>S06</x:v>
      </x:c>
      <x:c r="K161" s="14" t="str">
        <x:v>HISTORIQUE_CENI_2018_A_VALIDER</x:v>
      </x:c>
    </x:row>
    <x:row r="162">
      <x:c r="A162" s="14" t="n">
        <x:v>159</x:v>
      </x:c>
      <x:c r="B162" s="14" t="n">
        <x:v>104</x:v>
      </x:c>
      <x:c r="C162" s="14" t="str">
        <x:v>CHEFFERIE</x:v>
      </x:c>
      <x:c r="D162" s="14" t="str">
        <x:v>Saluseke</x:v>
      </x:c>
      <x:c r="E162" s="14"/>
      <x:c r="F162" s="14"/>
      <x:c r="G162" s="14"/>
      <x:c r="H162" s="14"/>
      <x:c r="I162" s="14" t="n">
        <x:v>2018</x:v>
      </x:c>
      <x:c r="J162" s="14" t="str">
        <x:v>S06</x:v>
      </x:c>
      <x:c r="K162" s="14" t="str">
        <x:v>HISTORIQUE_CENI_2018_A_VALIDER</x:v>
      </x:c>
    </x:row>
    <x:row r="163">
      <x:c r="A163" s="14" t="n">
        <x:v>160</x:v>
      </x:c>
      <x:c r="B163" s="14" t="n">
        <x:v>104</x:v>
      </x:c>
      <x:c r="C163" s="14" t="str">
        <x:v>CHEFFERIE</x:v>
      </x:c>
      <x:c r="D163" s="14" t="str">
        <x:v>Tshisangana</x:v>
      </x:c>
      <x:c r="E163" s="14"/>
      <x:c r="F163" s="14"/>
      <x:c r="G163" s="14"/>
      <x:c r="H163" s="14"/>
      <x:c r="I163" s="14" t="n">
        <x:v>2018</x:v>
      </x:c>
      <x:c r="J163" s="14" t="str">
        <x:v>S06</x:v>
      </x:c>
      <x:c r="K163" s="14" t="str">
        <x:v>HISTORIQUE_CENI_2018_A_VALIDER</x:v>
      </x:c>
    </x:row>
    <x:row r="164">
      <x:c r="A164" s="14" t="n">
        <x:v>161</x:v>
      </x:c>
      <x:c r="B164" s="14" t="n">
        <x:v>138</x:v>
      </x:c>
      <x:c r="C164" s="14" t="str">
        <x:v>SECTEUR</x:v>
      </x:c>
      <x:c r="D164" s="14" t="str">
        <x:v>Kunduyi</x:v>
      </x:c>
      <x:c r="E164" s="14"/>
      <x:c r="F164" s="14"/>
      <x:c r="G164" s="14"/>
      <x:c r="H164" s="14"/>
      <x:c r="I164" s="14" t="n">
        <x:v>2018</x:v>
      </x:c>
      <x:c r="J164" s="14" t="str">
        <x:v>S06</x:v>
      </x:c>
      <x:c r="K164" s="14" t="str">
        <x:v>HISTORIQUE_CENI_2018_A_VALIDER</x:v>
      </x:c>
    </x:row>
    <x:row r="165">
      <x:c r="A165" s="14" t="n">
        <x:v>162</x:v>
      </x:c>
      <x:c r="B165" s="14" t="n">
        <x:v>138</x:v>
      </x:c>
      <x:c r="C165" s="14" t="str">
        <x:v>SECTEUR</x:v>
      </x:c>
      <x:c r="D165" s="14" t="str">
        <x:v>Lubi</x:v>
      </x:c>
      <x:c r="E165" s="14"/>
      <x:c r="F165" s="14"/>
      <x:c r="G165" s="14"/>
      <x:c r="H165" s="14"/>
      <x:c r="I165" s="14" t="n">
        <x:v>2018</x:v>
      </x:c>
      <x:c r="J165" s="14" t="str">
        <x:v>S06</x:v>
      </x:c>
      <x:c r="K165" s="14" t="str">
        <x:v>HISTORIQUE_CENI_2018_A_VALIDER</x:v>
      </x:c>
    </x:row>
    <x:row r="166">
      <x:c r="A166" s="14" t="n">
        <x:v>163</x:v>
      </x:c>
      <x:c r="B166" s="14" t="n">
        <x:v>138</x:v>
      </x:c>
      <x:c r="C166" s="14" t="str">
        <x:v>SECTEUR</x:v>
      </x:c>
      <x:c r="D166" s="14" t="str">
        <x:v>Lubudi</x:v>
      </x:c>
      <x:c r="E166" s="14"/>
      <x:c r="F166" s="14"/>
      <x:c r="G166" s="14"/>
      <x:c r="H166" s="14"/>
      <x:c r="I166" s="14" t="n">
        <x:v>2018</x:v>
      </x:c>
      <x:c r="J166" s="14" t="str">
        <x:v>S06</x:v>
      </x:c>
      <x:c r="K166" s="14" t="str">
        <x:v>HISTORIQUE_CENI_2018_A_VALIDER</x:v>
      </x:c>
    </x:row>
    <x:row r="167">
      <x:c r="A167" s="14" t="n">
        <x:v>164</x:v>
      </x:c>
      <x:c r="B167" s="14" t="n">
        <x:v>138</x:v>
      </x:c>
      <x:c r="C167" s="14" t="str">
        <x:v>SECTEUR</x:v>
      </x:c>
      <x:c r="D167" s="14" t="str">
        <x:v>Lukibu</x:v>
      </x:c>
      <x:c r="E167" s="14"/>
      <x:c r="F167" s="14"/>
      <x:c r="G167" s="14"/>
      <x:c r="H167" s="14"/>
      <x:c r="I167" s="14" t="n">
        <x:v>2018</x:v>
      </x:c>
      <x:c r="J167" s="14" t="str">
        <x:v>S06</x:v>
      </x:c>
      <x:c r="K167" s="14" t="str">
        <x:v>HISTORIQUE_CENI_2018_A_VALIDER</x:v>
      </x:c>
    </x:row>
    <x:row r="168">
      <x:c r="A168" s="14" t="n">
        <x:v>165</x:v>
      </x:c>
      <x:c r="B168" s="14" t="n">
        <x:v>138</x:v>
      </x:c>
      <x:c r="C168" s="14" t="str">
        <x:v>SECTEUR</x:v>
      </x:c>
      <x:c r="D168" s="14" t="str">
        <x:v>Mashala</x:v>
      </x:c>
      <x:c r="E168" s="14"/>
      <x:c r="F168" s="14"/>
      <x:c r="G168" s="14"/>
      <x:c r="H168" s="14"/>
      <x:c r="I168" s="14" t="n">
        <x:v>2018</x:v>
      </x:c>
      <x:c r="J168" s="14" t="str">
        <x:v>S06</x:v>
      </x:c>
      <x:c r="K168" s="14" t="str">
        <x:v>HISTORIQUE_CENI_2018_A_VALIDER</x:v>
      </x:c>
    </x:row>
    <x:row r="169">
      <x:c r="A169" s="14" t="n">
        <x:v>166</x:v>
      </x:c>
      <x:c r="B169" s="14" t="n">
        <x:v>50</x:v>
      </x:c>
      <x:c r="C169" s="14" t="str">
        <x:v>SECTEUR</x:v>
      </x:c>
      <x:c r="D169" s="14" t="str">
        <x:v>Djolu</x:v>
      </x:c>
      <x:c r="E169" s="14"/>
      <x:c r="F169" s="14"/>
      <x:c r="G169" s="14"/>
      <x:c r="H169" s="14"/>
      <x:c r="I169" s="14" t="n">
        <x:v>2018</x:v>
      </x:c>
      <x:c r="J169" s="14" t="str">
        <x:v>S06</x:v>
      </x:c>
      <x:c r="K169" s="14" t="str">
        <x:v>HISTORIQUE_CENI_2018_A_VALIDER</x:v>
      </x:c>
    </x:row>
    <x:row r="170">
      <x:c r="A170" s="14" t="n">
        <x:v>167</x:v>
      </x:c>
      <x:c r="B170" s="14" t="n">
        <x:v>50</x:v>
      </x:c>
      <x:c r="C170" s="14" t="str">
        <x:v>SECTEUR</x:v>
      </x:c>
      <x:c r="D170" s="14" t="str">
        <x:v>Lingomo</x:v>
      </x:c>
      <x:c r="E170" s="14"/>
      <x:c r="F170" s="14"/>
      <x:c r="G170" s="14"/>
      <x:c r="H170" s="14"/>
      <x:c r="I170" s="14" t="n">
        <x:v>2018</x:v>
      </x:c>
      <x:c r="J170" s="14" t="str">
        <x:v>S06</x:v>
      </x:c>
      <x:c r="K170" s="14" t="str">
        <x:v>HISTORIQUE_CENI_2018_A_VALIDER</x:v>
      </x:c>
    </x:row>
    <x:row r="171">
      <x:c r="A171" s="14" t="n">
        <x:v>168</x:v>
      </x:c>
      <x:c r="B171" s="14" t="n">
        <x:v>50</x:v>
      </x:c>
      <x:c r="C171" s="14" t="str">
        <x:v>SECTEUR</x:v>
      </x:c>
      <x:c r="D171" s="14" t="str">
        <x:v>Luo</x:v>
      </x:c>
      <x:c r="E171" s="14"/>
      <x:c r="F171" s="14"/>
      <x:c r="G171" s="14"/>
      <x:c r="H171" s="14"/>
      <x:c r="I171" s="14" t="n">
        <x:v>2018</x:v>
      </x:c>
      <x:c r="J171" s="14" t="str">
        <x:v>S06</x:v>
      </x:c>
      <x:c r="K171" s="14" t="str">
        <x:v>HISTORIQUE_CENI_2018_A_VALIDER</x:v>
      </x:c>
    </x:row>
    <x:row r="172">
      <x:c r="A172" s="14" t="n">
        <x:v>169</x:v>
      </x:c>
      <x:c r="B172" s="14" t="n">
        <x:v>50</x:v>
      </x:c>
      <x:c r="C172" s="14" t="str">
        <x:v>SECTEUR</x:v>
      </x:c>
      <x:c r="D172" s="14" t="str">
        <x:v>Yala</x:v>
      </x:c>
      <x:c r="E172" s="14"/>
      <x:c r="F172" s="14"/>
      <x:c r="G172" s="14"/>
      <x:c r="H172" s="14"/>
      <x:c r="I172" s="14" t="n">
        <x:v>2018</x:v>
      </x:c>
      <x:c r="J172" s="14" t="str">
        <x:v>S06</x:v>
      </x:c>
      <x:c r="K172" s="14" t="str">
        <x:v>HISTORIQUE_CENI_2018_A_VALIDER</x:v>
      </x:c>
    </x:row>
    <x:row r="173">
      <x:c r="A173" s="14" t="n">
        <x:v>170</x:v>
      </x:c>
      <x:c r="B173" s="14" t="n">
        <x:v>73</x:v>
      </x:c>
      <x:c r="C173" s="14" t="str">
        <x:v>CHEFFERIE</x:v>
      </x:c>
      <x:c r="D173" s="14" t="str">
        <x:v>Bahema Badjere</x:v>
      </x:c>
      <x:c r="E173" s="14"/>
      <x:c r="F173" s="14"/>
      <x:c r="G173" s="14"/>
      <x:c r="H173" s="14"/>
      <x:c r="I173" s="14" t="n">
        <x:v>2018</x:v>
      </x:c>
      <x:c r="J173" s="14" t="str">
        <x:v>S06</x:v>
      </x:c>
      <x:c r="K173" s="14" t="str">
        <x:v>HISTORIQUE_CENI_2018_A_VALIDER</x:v>
      </x:c>
    </x:row>
    <x:row r="174">
      <x:c r="A174" s="14" t="n">
        <x:v>171</x:v>
      </x:c>
      <x:c r="B174" s="14" t="n">
        <x:v>73</x:v>
      </x:c>
      <x:c r="C174" s="14" t="str">
        <x:v>CHEFFERIE</x:v>
      </x:c>
      <x:c r="D174" s="14" t="str">
        <x:v>Bahema Baguru</x:v>
      </x:c>
      <x:c r="E174" s="14"/>
      <x:c r="F174" s="14"/>
      <x:c r="G174" s="14"/>
      <x:c r="H174" s="14"/>
      <x:c r="I174" s="14" t="n">
        <x:v>2018</x:v>
      </x:c>
      <x:c r="J174" s="14" t="str">
        <x:v>S06</x:v>
      </x:c>
      <x:c r="K174" s="14" t="str">
        <x:v>HISTORIQUE_CENI_2018_A_VALIDER</x:v>
      </x:c>
    </x:row>
    <x:row r="175">
      <x:c r="A175" s="14" t="n">
        <x:v>172</x:v>
      </x:c>
      <x:c r="B175" s="14" t="n">
        <x:v>73</x:v>
      </x:c>
      <x:c r="C175" s="14" t="str">
        <x:v>CHEFFERIE</x:v>
      </x:c>
      <x:c r="D175" s="14" t="str">
        <x:v>Bahema Banywagi</x:v>
      </x:c>
      <x:c r="E175" s="14"/>
      <x:c r="F175" s="14"/>
      <x:c r="G175" s="14"/>
      <x:c r="H175" s="14"/>
      <x:c r="I175" s="14" t="n">
        <x:v>2018</x:v>
      </x:c>
      <x:c r="J175" s="14" t="str">
        <x:v>S06</x:v>
      </x:c>
      <x:c r="K175" s="14" t="str">
        <x:v>HISTORIQUE_CENI_2018_A_VALIDER</x:v>
      </x:c>
    </x:row>
    <x:row r="176">
      <x:c r="A176" s="14" t="n">
        <x:v>173</x:v>
      </x:c>
      <x:c r="B176" s="14" t="n">
        <x:v>73</x:v>
      </x:c>
      <x:c r="C176" s="14" t="str">
        <x:v>CHEFFERIE</x:v>
      </x:c>
      <x:c r="D176" s="14" t="str">
        <x:v>Bahema Nord</x:v>
      </x:c>
      <x:c r="E176" s="14"/>
      <x:c r="F176" s="14"/>
      <x:c r="G176" s="14"/>
      <x:c r="H176" s="14"/>
      <x:c r="I176" s="14" t="n">
        <x:v>2018</x:v>
      </x:c>
      <x:c r="J176" s="14" t="str">
        <x:v>S06</x:v>
      </x:c>
      <x:c r="K176" s="14" t="str">
        <x:v>HISTORIQUE_CENI_2018_A_VALIDER</x:v>
      </x:c>
    </x:row>
    <x:row r="177">
      <x:c r="A177" s="14" t="n">
        <x:v>174</x:v>
      </x:c>
      <x:c r="B177" s="14" t="n">
        <x:v>73</x:v>
      </x:c>
      <x:c r="C177" s="14" t="str">
        <x:v>SECTEUR</x:v>
      </x:c>
      <x:c r="D177" s="14" t="str">
        <x:v>Banyali-Kilo</x:v>
      </x:c>
      <x:c r="E177" s="14"/>
      <x:c r="F177" s="14"/>
      <x:c r="G177" s="14"/>
      <x:c r="H177" s="14"/>
      <x:c r="I177" s="14" t="n">
        <x:v>2018</x:v>
      </x:c>
      <x:c r="J177" s="14" t="str">
        <x:v>S06</x:v>
      </x:c>
      <x:c r="K177" s="14" t="str">
        <x:v>HISTORIQUE_CENI_2018_A_VALIDER</x:v>
      </x:c>
    </x:row>
    <x:row r="178">
      <x:c r="A178" s="14" t="n">
        <x:v>175</x:v>
      </x:c>
      <x:c r="B178" s="14" t="n">
        <x:v>73</x:v>
      </x:c>
      <x:c r="C178" s="14" t="str">
        <x:v>CHEFFERIE</x:v>
      </x:c>
      <x:c r="D178" s="14" t="str">
        <x:v>Mabendi</x:v>
      </x:c>
      <x:c r="E178" s="14"/>
      <x:c r="F178" s="14"/>
      <x:c r="G178" s="14"/>
      <x:c r="H178" s="14"/>
      <x:c r="I178" s="14" t="n">
        <x:v>2018</x:v>
      </x:c>
      <x:c r="J178" s="14" t="str">
        <x:v>S06</x:v>
      </x:c>
      <x:c r="K178" s="14" t="str">
        <x:v>HISTORIQUE_CENI_2018_A_VALIDER</x:v>
      </x:c>
    </x:row>
    <x:row r="179">
      <x:c r="A179" s="14" t="n">
        <x:v>176</x:v>
      </x:c>
      <x:c r="B179" s="14" t="n">
        <x:v>73</x:v>
      </x:c>
      <x:c r="C179" s="14" t="str">
        <x:v>CHEFFERIE</x:v>
      </x:c>
      <x:c r="D179" s="14" t="str">
        <x:v>Mambisa</x:v>
      </x:c>
      <x:c r="E179" s="14"/>
      <x:c r="F179" s="14"/>
      <x:c r="G179" s="14"/>
      <x:c r="H179" s="14"/>
      <x:c r="I179" s="14" t="n">
        <x:v>2018</x:v>
      </x:c>
      <x:c r="J179" s="14" t="str">
        <x:v>S06</x:v>
      </x:c>
      <x:c r="K179" s="14" t="str">
        <x:v>HISTORIQUE_CENI_2018_A_VALIDER</x:v>
      </x:c>
    </x:row>
    <x:row r="180">
      <x:c r="A180" s="14" t="n">
        <x:v>177</x:v>
      </x:c>
      <x:c r="B180" s="14" t="n">
        <x:v>73</x:v>
      </x:c>
      <x:c r="C180" s="14" t="str">
        <x:v>CHEFFERIE</x:v>
      </x:c>
      <x:c r="D180" s="14" t="str">
        <x:v>Ndo-Okebo</x:v>
      </x:c>
      <x:c r="E180" s="14"/>
      <x:c r="F180" s="14"/>
      <x:c r="G180" s="14"/>
      <x:c r="H180" s="14"/>
      <x:c r="I180" s="14" t="n">
        <x:v>2018</x:v>
      </x:c>
      <x:c r="J180" s="14" t="str">
        <x:v>S06</x:v>
      </x:c>
      <x:c r="K180" s="14" t="str">
        <x:v>HISTORIQUE_CENI_2018_A_VALIDER</x:v>
      </x:c>
    </x:row>
    <x:row r="181">
      <x:c r="A181" s="14" t="n">
        <x:v>178</x:v>
      </x:c>
      <x:c r="B181" s="14" t="n">
        <x:v>73</x:v>
      </x:c>
      <x:c r="C181" s="14" t="str">
        <x:v>SECTEUR</x:v>
      </x:c>
      <x:c r="D181" s="14" t="str">
        <x:v>Walendu Djatsi</x:v>
      </x:c>
      <x:c r="E181" s="14"/>
      <x:c r="F181" s="14"/>
      <x:c r="G181" s="14"/>
      <x:c r="H181" s="14"/>
      <x:c r="I181" s="14" t="n">
        <x:v>2018</x:v>
      </x:c>
      <x:c r="J181" s="14" t="str">
        <x:v>S06</x:v>
      </x:c>
      <x:c r="K181" s="14" t="str">
        <x:v>HISTORIQUE_CENI_2018_A_VALIDER</x:v>
      </x:c>
    </x:row>
    <x:row r="182">
      <x:c r="A182" s="14" t="n">
        <x:v>179</x:v>
      </x:c>
      <x:c r="B182" s="14" t="n">
        <x:v>73</x:v>
      </x:c>
      <x:c r="C182" s="14" t="str">
        <x:v>SECTEUR</x:v>
      </x:c>
      <x:c r="D182" s="14" t="str">
        <x:v>Walendu Pitsi</x:v>
      </x:c>
      <x:c r="E182" s="14"/>
      <x:c r="F182" s="14"/>
      <x:c r="G182" s="14"/>
      <x:c r="H182" s="14"/>
      <x:c r="I182" s="14" t="n">
        <x:v>2018</x:v>
      </x:c>
      <x:c r="J182" s="14" t="str">
        <x:v>S06</x:v>
      </x:c>
      <x:c r="K182" s="14" t="str">
        <x:v>HISTORIQUE_CENI_2018_A_VALIDER</x:v>
      </x:c>
    </x:row>
    <x:row r="183">
      <x:c r="A183" s="14" t="n">
        <x:v>180</x:v>
      </x:c>
      <x:c r="B183" s="14" t="n">
        <x:v>73</x:v>
      </x:c>
      <x:c r="C183" s="14" t="str">
        <x:v>SECTEUR</x:v>
      </x:c>
      <x:c r="D183" s="14" t="str">
        <x:v>Walendu-Tatsi</x:v>
      </x:c>
      <x:c r="E183" s="14"/>
      <x:c r="F183" s="14"/>
      <x:c r="G183" s="14"/>
      <x:c r="H183" s="14"/>
      <x:c r="I183" s="14" t="n">
        <x:v>2018</x:v>
      </x:c>
      <x:c r="J183" s="14" t="str">
        <x:v>S06</x:v>
      </x:c>
      <x:c r="K183" s="14" t="str">
        <x:v>HISTORIQUE_CENI_2018_A_VALIDER</x:v>
      </x:c>
    </x:row>
    <x:row r="184">
      <x:c r="A184" s="14" t="n">
        <x:v>181</x:v>
      </x:c>
      <x:c r="B184" s="14" t="n">
        <x:v>66</x:v>
      </x:c>
      <x:c r="C184" s="14" t="str">
        <x:v>CHEFFERIE</x:v>
      </x:c>
      <x:c r="D184" s="14" t="str">
        <x:v>Ndolomo</x:v>
      </x:c>
      <x:c r="E184" s="14"/>
      <x:c r="F184" s="14"/>
      <x:c r="G184" s="14"/>
      <x:c r="H184" s="14"/>
      <x:c r="I184" s="14" t="n">
        <x:v>2018</x:v>
      </x:c>
      <x:c r="J184" s="14" t="str">
        <x:v>S06</x:v>
      </x:c>
      <x:c r="K184" s="14" t="str">
        <x:v>HISTORIQUE_CENI_2018_A_VALIDER</x:v>
      </x:c>
    </x:row>
    <x:row r="185">
      <x:c r="A185" s="14" t="n">
        <x:v>182</x:v>
      </x:c>
      <x:c r="B185" s="14" t="n">
        <x:v>66</x:v>
      </x:c>
      <x:c r="C185" s="14" t="str">
        <x:v>CHEFFERIE</x:v>
      </x:c>
      <x:c r="D185" s="14" t="str">
        <x:v>Malingindu</x:v>
      </x:c>
      <x:c r="E185" s="14"/>
      <x:c r="F185" s="14"/>
      <x:c r="G185" s="14"/>
      <x:c r="H185" s="14"/>
      <x:c r="I185" s="14" t="n">
        <x:v>2018</x:v>
      </x:c>
      <x:c r="J185" s="14" t="str">
        <x:v>S06</x:v>
      </x:c>
      <x:c r="K185" s="14" t="str">
        <x:v>HISTORIQUE_CENI_2018_A_VALIDER</x:v>
      </x:c>
    </x:row>
    <x:row r="186">
      <x:c r="A186" s="14" t="n">
        <x:v>183</x:v>
      </x:c>
      <x:c r="B186" s="14" t="n">
        <x:v>66</x:v>
      </x:c>
      <x:c r="C186" s="14" t="str">
        <x:v>CHEFFERIE</x:v>
      </x:c>
      <x:c r="D186" s="14" t="str">
        <x:v>Wando</x:v>
      </x:c>
      <x:c r="E186" s="14"/>
      <x:c r="F186" s="14"/>
      <x:c r="G186" s="14"/>
      <x:c r="H186" s="14"/>
      <x:c r="I186" s="14" t="n">
        <x:v>2018</x:v>
      </x:c>
      <x:c r="J186" s="14" t="str">
        <x:v>S06</x:v>
      </x:c>
      <x:c r="K186" s="14" t="str">
        <x:v>HISTORIQUE_CENI_2018_A_VALIDER</x:v>
      </x:c>
    </x:row>
    <x:row r="187">
      <x:c r="A187" s="14" t="n">
        <x:v>184</x:v>
      </x:c>
      <x:c r="B187" s="14" t="n">
        <x:v>67</x:v>
      </x:c>
      <x:c r="C187" s="14" t="str">
        <x:v>CHEFFERIE</x:v>
      </x:c>
      <x:c r="D187" s="14" t="str">
        <x:v>Dongo</x:v>
      </x:c>
      <x:c r="E187" s="14"/>
      <x:c r="F187" s="14"/>
      <x:c r="G187" s="14"/>
      <x:c r="H187" s="14"/>
      <x:c r="I187" s="14" t="n">
        <x:v>2018</x:v>
      </x:c>
      <x:c r="J187" s="14" t="str">
        <x:v>S06</x:v>
      </x:c>
      <x:c r="K187" s="14" t="str">
        <x:v>HISTORIQUE_CENI_2018_A_VALIDER</x:v>
      </x:c>
    </x:row>
    <x:row r="188">
      <x:c r="A188" s="14" t="n">
        <x:v>185</x:v>
      </x:c>
      <x:c r="B188" s="14" t="n">
        <x:v>67</x:v>
      </x:c>
      <x:c r="C188" s="14" t="str">
        <x:v>CHEFFERIE</x:v>
      </x:c>
      <x:c r="D188" s="14" t="str">
        <x:v>Kakwa</x:v>
      </x:c>
      <x:c r="E188" s="14"/>
      <x:c r="F188" s="14"/>
      <x:c r="G188" s="14"/>
      <x:c r="H188" s="14"/>
      <x:c r="I188" s="14" t="n">
        <x:v>2018</x:v>
      </x:c>
      <x:c r="J188" s="14" t="str">
        <x:v>S06</x:v>
      </x:c>
      <x:c r="K188" s="14" t="str">
        <x:v>HISTORIQUE_CENI_2018_A_VALIDER</x:v>
      </x:c>
    </x:row>
    <x:row r="189">
      <x:c r="A189" s="14" t="n">
        <x:v>186</x:v>
      </x:c>
      <x:c r="B189" s="14" t="n">
        <x:v>67</x:v>
      </x:c>
      <x:c r="C189" s="14" t="str">
        <x:v>CHEFFERIE</x:v>
      </x:c>
      <x:c r="D189" s="14" t="str">
        <x:v>Logo-Bagela</x:v>
      </x:c>
      <x:c r="E189" s="14"/>
      <x:c r="F189" s="14"/>
      <x:c r="G189" s="14"/>
      <x:c r="H189" s="14"/>
      <x:c r="I189" s="14" t="n">
        <x:v>2018</x:v>
      </x:c>
      <x:c r="J189" s="14" t="str">
        <x:v>S06</x:v>
      </x:c>
      <x:c r="K189" s="14" t="str">
        <x:v>HISTORIQUE_CENI_2018_A_VALIDER</x:v>
      </x:c>
    </x:row>
    <x:row r="190">
      <x:c r="A190" s="14" t="n">
        <x:v>187</x:v>
      </x:c>
      <x:c r="B190" s="14" t="n">
        <x:v>67</x:v>
      </x:c>
      <x:c r="C190" s="14" t="str">
        <x:v>CHEFFERIE</x:v>
      </x:c>
      <x:c r="D190" s="14" t="str">
        <x:v>Logo-Doka</x:v>
      </x:c>
      <x:c r="E190" s="14"/>
      <x:c r="F190" s="14"/>
      <x:c r="G190" s="14"/>
      <x:c r="H190" s="14"/>
      <x:c r="I190" s="14" t="n">
        <x:v>2018</x:v>
      </x:c>
      <x:c r="J190" s="14" t="str">
        <x:v>S06</x:v>
      </x:c>
      <x:c r="K190" s="14" t="str">
        <x:v>HISTORIQUE_CENI_2018_A_VALIDER</x:v>
      </x:c>
    </x:row>
    <x:row r="191">
      <x:c r="A191" s="14" t="n">
        <x:v>188</x:v>
      </x:c>
      <x:c r="B191" s="14" t="n">
        <x:v>67</x:v>
      </x:c>
      <x:c r="C191" s="14" t="str">
        <x:v>CHEFFERIE</x:v>
      </x:c>
      <x:c r="D191" s="14" t="str">
        <x:v>Logo-Lolia</x:v>
      </x:c>
      <x:c r="E191" s="14"/>
      <x:c r="F191" s="14"/>
      <x:c r="G191" s="14"/>
      <x:c r="H191" s="14"/>
      <x:c r="I191" s="14" t="n">
        <x:v>2018</x:v>
      </x:c>
      <x:c r="J191" s="14" t="str">
        <x:v>S06</x:v>
      </x:c>
      <x:c r="K191" s="14" t="str">
        <x:v>HISTORIQUE_CENI_2018_A_VALIDER</x:v>
      </x:c>
    </x:row>
    <x:row r="192">
      <x:c r="A192" s="14" t="n">
        <x:v>189</x:v>
      </x:c>
      <x:c r="B192" s="14" t="n">
        <x:v>67</x:v>
      </x:c>
      <x:c r="C192" s="14" t="str">
        <x:v>CHEFFERIE</x:v>
      </x:c>
      <x:c r="D192" s="14" t="str">
        <x:v>Logo-Obeleba</x:v>
      </x:c>
      <x:c r="E192" s="14"/>
      <x:c r="F192" s="14"/>
      <x:c r="G192" s="14"/>
      <x:c r="H192" s="14"/>
      <x:c r="I192" s="14" t="n">
        <x:v>2018</x:v>
      </x:c>
      <x:c r="J192" s="14" t="str">
        <x:v>S06</x:v>
      </x:c>
      <x:c r="K192" s="14" t="str">
        <x:v>HISTORIQUE_CENI_2018_A_VALIDER</x:v>
      </x:c>
    </x:row>
    <x:row r="193">
      <x:c r="A193" s="14" t="n">
        <x:v>190</x:v>
      </x:c>
      <x:c r="B193" s="14" t="n">
        <x:v>67</x:v>
      </x:c>
      <x:c r="C193" s="14" t="str">
        <x:v>CHEFFERIE</x:v>
      </x:c>
      <x:c r="D193" s="14" t="str">
        <x:v>Logo-Ogambi</x:v>
      </x:c>
      <x:c r="E193" s="14"/>
      <x:c r="F193" s="14"/>
      <x:c r="G193" s="14"/>
      <x:c r="H193" s="14"/>
      <x:c r="I193" s="14" t="n">
        <x:v>2018</x:v>
      </x:c>
      <x:c r="J193" s="14" t="str">
        <x:v>S06</x:v>
      </x:c>
      <x:c r="K193" s="14" t="str">
        <x:v>HISTORIQUE_CENI_2018_A_VALIDER</x:v>
      </x:c>
    </x:row>
    <x:row r="194">
      <x:c r="A194" s="14" t="n">
        <x:v>191</x:v>
      </x:c>
      <x:c r="B194" s="14" t="n">
        <x:v>67</x:v>
      </x:c>
      <x:c r="C194" s="14" t="str">
        <x:v>CHEFFERIE</x:v>
      </x:c>
      <x:c r="D194" s="14" t="str">
        <x:v>Mondo</x:v>
      </x:c>
      <x:c r="E194" s="14"/>
      <x:c r="F194" s="14"/>
      <x:c r="G194" s="14"/>
      <x:c r="H194" s="14"/>
      <x:c r="I194" s="14" t="n">
        <x:v>2018</x:v>
      </x:c>
      <x:c r="J194" s="14" t="str">
        <x:v>S06</x:v>
      </x:c>
      <x:c r="K194" s="14" t="str">
        <x:v>HISTORIQUE_CENI_2018_A_VALIDER</x:v>
      </x:c>
    </x:row>
    <x:row r="195">
      <x:c r="A195" s="14" t="n">
        <x:v>192</x:v>
      </x:c>
      <x:c r="B195" s="14" t="n">
        <x:v>11</x:v>
      </x:c>
      <x:c r="C195" s="14" t="str">
        <x:v>SECTEUR</x:v>
      </x:c>
      <x:c r="D195" s="14" t="str">
        <x:v>Feshi</x:v>
      </x:c>
      <x:c r="E195" s="14"/>
      <x:c r="F195" s="14"/>
      <x:c r="G195" s="14"/>
      <x:c r="H195" s="14"/>
      <x:c r="I195" s="14" t="n">
        <x:v>2018</x:v>
      </x:c>
      <x:c r="J195" s="14" t="str">
        <x:v>S06</x:v>
      </x:c>
      <x:c r="K195" s="14" t="str">
        <x:v>HISTORIQUE_CENI_2018_A_VALIDER</x:v>
      </x:c>
    </x:row>
    <x:row r="196">
      <x:c r="A196" s="14" t="n">
        <x:v>193</x:v>
      </x:c>
      <x:c r="B196" s="14" t="n">
        <x:v>11</x:v>
      </x:c>
      <x:c r="C196" s="14" t="str">
        <x:v>SECTEUR</x:v>
      </x:c>
      <x:c r="D196" s="14" t="str">
        <x:v>Ganaketi</x:v>
      </x:c>
      <x:c r="E196" s="14"/>
      <x:c r="F196" s="14"/>
      <x:c r="G196" s="14"/>
      <x:c r="H196" s="14"/>
      <x:c r="I196" s="14" t="n">
        <x:v>2018</x:v>
      </x:c>
      <x:c r="J196" s="14" t="str">
        <x:v>S06</x:v>
      </x:c>
      <x:c r="K196" s="14" t="str">
        <x:v>HISTORIQUE_CENI_2018_A_VALIDER</x:v>
      </x:c>
    </x:row>
    <x:row r="197">
      <x:c r="A197" s="14" t="n">
        <x:v>194</x:v>
      </x:c>
      <x:c r="B197" s="14" t="n">
        <x:v>11</x:v>
      </x:c>
      <x:c r="C197" s="14" t="str">
        <x:v>SECTEUR</x:v>
      </x:c>
      <x:c r="D197" s="14" t="str">
        <x:v>Kobo</x:v>
      </x:c>
      <x:c r="E197" s="14"/>
      <x:c r="F197" s="14"/>
      <x:c r="G197" s="14"/>
      <x:c r="H197" s="14"/>
      <x:c r="I197" s="14" t="n">
        <x:v>2018</x:v>
      </x:c>
      <x:c r="J197" s="14" t="str">
        <x:v>S06</x:v>
      </x:c>
      <x:c r="K197" s="14" t="str">
        <x:v>HISTORIQUE_CENI_2018_A_VALIDER</x:v>
      </x:c>
    </x:row>
    <x:row r="198">
      <x:c r="A198" s="14" t="n">
        <x:v>195</x:v>
      </x:c>
      <x:c r="B198" s="14" t="n">
        <x:v>11</x:v>
      </x:c>
      <x:c r="C198" s="14" t="str">
        <x:v>SECTEUR</x:v>
      </x:c>
      <x:c r="D198" s="14" t="str">
        <x:v>Mukoso</x:v>
      </x:c>
      <x:c r="E198" s="14"/>
      <x:c r="F198" s="14"/>
      <x:c r="G198" s="14"/>
      <x:c r="H198" s="14"/>
      <x:c r="I198" s="14" t="n">
        <x:v>2018</x:v>
      </x:c>
      <x:c r="J198" s="14" t="str">
        <x:v>S06</x:v>
      </x:c>
      <x:c r="K198" s="14" t="str">
        <x:v>HISTORIQUE_CENI_2018_A_VALIDER</x:v>
      </x:c>
    </x:row>
    <x:row r="199">
      <x:c r="A199" s="14" t="n">
        <x:v>196</x:v>
      </x:c>
      <x:c r="B199" s="14" t="n">
        <x:v>83</x:v>
      </x:c>
      <x:c r="C199" s="14" t="str">
        <x:v>SECTEUR</x:v>
      </x:c>
      <x:c r="D199" s="14" t="str">
        <x:v>Lulenge</x:v>
      </x:c>
      <x:c r="E199" s="14"/>
      <x:c r="F199" s="14"/>
      <x:c r="G199" s="14"/>
      <x:c r="H199" s="14"/>
      <x:c r="I199" s="14" t="n">
        <x:v>2018</x:v>
      </x:c>
      <x:c r="J199" s="14" t="str">
        <x:v>S06</x:v>
      </x:c>
      <x:c r="K199" s="14" t="str">
        <x:v>HISTORIQUE_CENI_2018_A_VALIDER</x:v>
      </x:c>
    </x:row>
    <x:row r="200">
      <x:c r="A200" s="14" t="n">
        <x:v>197</x:v>
      </x:c>
      <x:c r="B200" s="14" t="n">
        <x:v>83</x:v>
      </x:c>
      <x:c r="C200" s="14" t="str">
        <x:v>SECTEUR</x:v>
      </x:c>
      <x:c r="D200" s="14" t="str">
        <x:v>Mutambala</x:v>
      </x:c>
      <x:c r="E200" s="14"/>
      <x:c r="F200" s="14"/>
      <x:c r="G200" s="14"/>
      <x:c r="H200" s="14"/>
      <x:c r="I200" s="14" t="n">
        <x:v>2018</x:v>
      </x:c>
      <x:c r="J200" s="14" t="str">
        <x:v>S06</x:v>
      </x:c>
      <x:c r="K200" s="14" t="str">
        <x:v>HISTORIQUE_CENI_2018_A_VALIDER</x:v>
      </x:c>
    </x:row>
    <x:row r="201">
      <x:c r="A201" s="14" t="n">
        <x:v>198</x:v>
      </x:c>
      <x:c r="B201" s="14" t="n">
        <x:v>83</x:v>
      </x:c>
      <x:c r="C201" s="14" t="str">
        <x:v>SECTEUR</x:v>
      </x:c>
      <x:c r="D201" s="14" t="str">
        <x:v>Ngandja</x:v>
      </x:c>
      <x:c r="E201" s="14"/>
      <x:c r="F201" s="14"/>
      <x:c r="G201" s="14"/>
      <x:c r="H201" s="14"/>
      <x:c r="I201" s="14" t="n">
        <x:v>2018</x:v>
      </x:c>
      <x:c r="J201" s="14" t="str">
        <x:v>S06</x:v>
      </x:c>
      <x:c r="K201" s="14" t="str">
        <x:v>HISTORIQUE_CENI_2018_A_VALIDER</x:v>
      </x:c>
    </x:row>
    <x:row r="202">
      <x:c r="A202" s="14" t="n">
        <x:v>199</x:v>
      </x:c>
      <x:c r="B202" s="14" t="n">
        <x:v>83</x:v>
      </x:c>
      <x:c r="C202" s="14" t="str">
        <x:v>SECTEUR</x:v>
      </x:c>
      <x:c r="D202" s="14" t="str">
        <x:v>Tanganyika</x:v>
      </x:c>
      <x:c r="E202" s="14"/>
      <x:c r="F202" s="14"/>
      <x:c r="G202" s="14"/>
      <x:c r="H202" s="14"/>
      <x:c r="I202" s="14" t="n">
        <x:v>2018</x:v>
      </x:c>
      <x:c r="J202" s="14" t="str">
        <x:v>S06</x:v>
      </x:c>
      <x:c r="K202" s="14" t="str">
        <x:v>HISTORIQUE_CENI_2018_A_VALIDER</x:v>
      </x:c>
    </x:row>
    <x:row r="203">
      <x:c r="A203" s="14" t="n">
        <x:v>200</x:v>
      </x:c>
      <x:c r="B203" s="14" t="n">
        <x:v>37</x:v>
      </x:c>
      <x:c r="C203" s="14" t="str">
        <x:v>SECTEUR</x:v>
      </x:c>
      <x:c r="D203" s="14" t="str">
        <x:v>Banga-Kungu</x:v>
      </x:c>
      <x:c r="E203" s="14"/>
      <x:c r="F203" s="14"/>
      <x:c r="G203" s="14"/>
      <x:c r="H203" s="14"/>
      <x:c r="I203" s="14" t="n">
        <x:v>2018</x:v>
      </x:c>
      <x:c r="J203" s="14" t="str">
        <x:v>S06</x:v>
      </x:c>
      <x:c r="K203" s="14" t="str">
        <x:v>HISTORIQUE_CENI_2018_A_VALIDER</x:v>
      </x:c>
    </x:row>
    <x:row r="204">
      <x:c r="A204" s="14" t="n">
        <x:v>201</x:v>
      </x:c>
      <x:c r="B204" s="14" t="n">
        <x:v>37</x:v>
      </x:c>
      <x:c r="C204" s="14" t="str">
        <x:v>SECTEUR</x:v>
      </x:c>
      <x:c r="D204" s="14" t="str">
        <x:v>Bowase</x:v>
      </x:c>
      <x:c r="E204" s="14"/>
      <x:c r="F204" s="14"/>
      <x:c r="G204" s="14"/>
      <x:c r="H204" s="14"/>
      <x:c r="I204" s="14" t="n">
        <x:v>2018</x:v>
      </x:c>
      <x:c r="J204" s="14" t="str">
        <x:v>S06</x:v>
      </x:c>
      <x:c r="K204" s="14" t="str">
        <x:v>HISTORIQUE_CENI_2018_A_VALIDER</x:v>
      </x:c>
    </x:row>
    <x:row r="205">
      <x:c r="A205" s="14" t="n">
        <x:v>202</x:v>
      </x:c>
      <x:c r="B205" s="14" t="n">
        <x:v>37</x:v>
      </x:c>
      <x:c r="C205" s="14" t="str">
        <x:v>SECTEUR</x:v>
      </x:c>
      <x:c r="D205" s="14" t="str">
        <x:v>Mbari</x:v>
      </x:c>
      <x:c r="E205" s="14"/>
      <x:c r="F205" s="14"/>
      <x:c r="G205" s="14"/>
      <x:c r="H205" s="14"/>
      <x:c r="I205" s="14" t="n">
        <x:v>2018</x:v>
      </x:c>
      <x:c r="J205" s="14" t="str">
        <x:v>S06</x:v>
      </x:c>
      <x:c r="K205" s="14" t="str">
        <x:v>HISTORIQUE_CENI_2018_A_VALIDER</x:v>
      </x:c>
    </x:row>
    <x:row r="206">
      <x:c r="A206" s="14" t="n">
        <x:v>203</x:v>
      </x:c>
      <x:c r="B206" s="14" t="n">
        <x:v>37</x:v>
      </x:c>
      <x:c r="C206" s="14" t="str">
        <x:v>SECTEUR</x:v>
      </x:c>
      <x:c r="D206" s="14" t="str">
        <x:v>Nguya</x:v>
      </x:c>
      <x:c r="E206" s="14"/>
      <x:c r="F206" s="14"/>
      <x:c r="G206" s="14"/>
      <x:c r="H206" s="14"/>
      <x:c r="I206" s="14" t="n">
        <x:v>2018</x:v>
      </x:c>
      <x:c r="J206" s="14" t="str">
        <x:v>S06</x:v>
      </x:c>
      <x:c r="K206" s="14" t="str">
        <x:v>HISTORIQUE_CENI_2018_A_VALIDER</x:v>
      </x:c>
    </x:row>
    <x:row r="207">
      <x:c r="A207" s="14" t="n">
        <x:v>204</x:v>
      </x:c>
      <x:c r="B207" s="14" t="n">
        <x:v>18</x:v>
      </x:c>
      <x:c r="C207" s="14" t="str">
        <x:v>SECTEUR</x:v>
      </x:c>
      <x:c r="D207" s="14" t="str">
        <x:v>Gungu</x:v>
      </x:c>
      <x:c r="E207" s="14"/>
      <x:c r="F207" s="14"/>
      <x:c r="G207" s="14"/>
      <x:c r="H207" s="14"/>
      <x:c r="I207" s="14" t="n">
        <x:v>2018</x:v>
      </x:c>
      <x:c r="J207" s="14" t="str">
        <x:v>S06</x:v>
      </x:c>
      <x:c r="K207" s="14" t="str">
        <x:v>HISTORIQUE_CENI_2018_A_VALIDER</x:v>
      </x:c>
    </x:row>
    <x:row r="208">
      <x:c r="A208" s="14" t="n">
        <x:v>205</x:v>
      </x:c>
      <x:c r="B208" s="14" t="n">
        <x:v>18</x:v>
      </x:c>
      <x:c r="C208" s="14" t="str">
        <x:v>SECTEUR</x:v>
      </x:c>
      <x:c r="D208" s="14" t="str">
        <x:v>Kandale</x:v>
      </x:c>
      <x:c r="E208" s="14"/>
      <x:c r="F208" s="14"/>
      <x:c r="G208" s="14"/>
      <x:c r="H208" s="14"/>
      <x:c r="I208" s="14" t="n">
        <x:v>2018</x:v>
      </x:c>
      <x:c r="J208" s="14" t="str">
        <x:v>S06</x:v>
      </x:c>
      <x:c r="K208" s="14" t="str">
        <x:v>HISTORIQUE_CENI_2018_A_VALIDER</x:v>
      </x:c>
    </x:row>
    <x:row r="209">
      <x:c r="A209" s="14" t="n">
        <x:v>206</x:v>
      </x:c>
      <x:c r="B209" s="14" t="n">
        <x:v>18</x:v>
      </x:c>
      <x:c r="C209" s="14" t="str">
        <x:v>SECTEUR</x:v>
      </x:c>
      <x:c r="D209" s="14" t="str">
        <x:v>Kilamba</x:v>
      </x:c>
      <x:c r="E209" s="14"/>
      <x:c r="F209" s="14"/>
      <x:c r="G209" s="14"/>
      <x:c r="H209" s="14"/>
      <x:c r="I209" s="14" t="n">
        <x:v>2018</x:v>
      </x:c>
      <x:c r="J209" s="14" t="str">
        <x:v>S06</x:v>
      </x:c>
      <x:c r="K209" s="14" t="str">
        <x:v>HISTORIQUE_CENI_2018_A_VALIDER</x:v>
      </x:c>
    </x:row>
    <x:row r="210">
      <x:c r="A210" s="14" t="n">
        <x:v>207</x:v>
      </x:c>
      <x:c r="B210" s="14" t="n">
        <x:v>18</x:v>
      </x:c>
      <x:c r="C210" s="14" t="str">
        <x:v>SECTEUR</x:v>
      </x:c>
      <x:c r="D210" s="14" t="str">
        <x:v>Kilemba</x:v>
      </x:c>
      <x:c r="E210" s="14"/>
      <x:c r="F210" s="14"/>
      <x:c r="G210" s="14"/>
      <x:c r="H210" s="14"/>
      <x:c r="I210" s="14" t="n">
        <x:v>2018</x:v>
      </x:c>
      <x:c r="J210" s="14" t="str">
        <x:v>S06</x:v>
      </x:c>
      <x:c r="K210" s="14" t="str">
        <x:v>HISTORIQUE_CENI_2018_A_VALIDER</x:v>
      </x:c>
    </x:row>
    <x:row r="211">
      <x:c r="A211" s="14" t="n">
        <x:v>208</x:v>
      </x:c>
      <x:c r="B211" s="14" t="n">
        <x:v>18</x:v>
      </x:c>
      <x:c r="C211" s="14" t="str">
        <x:v>SECTEUR</x:v>
      </x:c>
      <x:c r="D211" s="14" t="str">
        <x:v>Kisunzu</x:v>
      </x:c>
      <x:c r="E211" s="14"/>
      <x:c r="F211" s="14"/>
      <x:c r="G211" s="14"/>
      <x:c r="H211" s="14"/>
      <x:c r="I211" s="14" t="n">
        <x:v>2018</x:v>
      </x:c>
      <x:c r="J211" s="14" t="str">
        <x:v>S06</x:v>
      </x:c>
      <x:c r="K211" s="14" t="str">
        <x:v>HISTORIQUE_CENI_2018_A_VALIDER</x:v>
      </x:c>
    </x:row>
    <x:row r="212">
      <x:c r="A212" s="14" t="n">
        <x:v>209</x:v>
      </x:c>
      <x:c r="B212" s="14" t="n">
        <x:v>18</x:v>
      </x:c>
      <x:c r="C212" s="14" t="str">
        <x:v>SECTEUR</x:v>
      </x:c>
      <x:c r="D212" s="14" t="str">
        <x:v>Kobo</x:v>
      </x:c>
      <x:c r="E212" s="14"/>
      <x:c r="F212" s="14"/>
      <x:c r="G212" s="14"/>
      <x:c r="H212" s="14"/>
      <x:c r="I212" s="14" t="n">
        <x:v>2018</x:v>
      </x:c>
      <x:c r="J212" s="14" t="str">
        <x:v>S06</x:v>
      </x:c>
      <x:c r="K212" s="14" t="str">
        <x:v>HISTORIQUE_CENI_2018_A_VALIDER</x:v>
      </x:c>
    </x:row>
    <x:row r="213">
      <x:c r="A213" s="14" t="n">
        <x:v>210</x:v>
      </x:c>
      <x:c r="B213" s="14" t="n">
        <x:v>18</x:v>
      </x:c>
      <x:c r="C213" s="14" t="str">
        <x:v>SECTEUR</x:v>
      </x:c>
      <x:c r="D213" s="14" t="str">
        <x:v>Kondo</x:v>
      </x:c>
      <x:c r="E213" s="14"/>
      <x:c r="F213" s="14"/>
      <x:c r="G213" s="14"/>
      <x:c r="H213" s="14"/>
      <x:c r="I213" s="14" t="n">
        <x:v>2018</x:v>
      </x:c>
      <x:c r="J213" s="14" t="str">
        <x:v>S06</x:v>
      </x:c>
      <x:c r="K213" s="14" t="str">
        <x:v>HISTORIQUE_CENI_2018_A_VALIDER</x:v>
      </x:c>
    </x:row>
    <x:row r="214">
      <x:c r="A214" s="14" t="n">
        <x:v>211</x:v>
      </x:c>
      <x:c r="B214" s="14" t="n">
        <x:v>18</x:v>
      </x:c>
      <x:c r="C214" s="14" t="str">
        <x:v>SECTEUR</x:v>
      </x:c>
      <x:c r="D214" s="14" t="str">
        <x:v>Mudikalunga</x:v>
      </x:c>
      <x:c r="E214" s="14"/>
      <x:c r="F214" s="14"/>
      <x:c r="G214" s="14"/>
      <x:c r="H214" s="14"/>
      <x:c r="I214" s="14" t="n">
        <x:v>2018</x:v>
      </x:c>
      <x:c r="J214" s="14" t="str">
        <x:v>S06</x:v>
      </x:c>
      <x:c r="K214" s="14" t="str">
        <x:v>HISTORIQUE_CENI_2018_A_VALIDER</x:v>
      </x:c>
    </x:row>
    <x:row r="215">
      <x:c r="A215" s="14" t="n">
        <x:v>212</x:v>
      </x:c>
      <x:c r="B215" s="14" t="n">
        <x:v>18</x:v>
      </x:c>
      <x:c r="C215" s="14" t="str">
        <x:v>SECTEUR</x:v>
      </x:c>
      <x:c r="D215" s="14" t="str">
        <x:v>Mungindu</x:v>
      </x:c>
      <x:c r="E215" s="14"/>
      <x:c r="F215" s="14"/>
      <x:c r="G215" s="14"/>
      <x:c r="H215" s="14"/>
      <x:c r="I215" s="14" t="n">
        <x:v>2018</x:v>
      </x:c>
      <x:c r="J215" s="14" t="str">
        <x:v>S06</x:v>
      </x:c>
      <x:c r="K215" s="14" t="str">
        <x:v>HISTORIQUE_CENI_2018_A_VALIDER</x:v>
      </x:c>
    </x:row>
    <x:row r="216">
      <x:c r="A216" s="14" t="n">
        <x:v>213</x:v>
      </x:c>
      <x:c r="B216" s="14" t="n">
        <x:v>18</x:v>
      </x:c>
      <x:c r="C216" s="14" t="str">
        <x:v>SECTEUR</x:v>
      </x:c>
      <x:c r="D216" s="14" t="str">
        <x:v>Lozo</x:v>
      </x:c>
      <x:c r="E216" s="14"/>
      <x:c r="F216" s="14"/>
      <x:c r="G216" s="14"/>
      <x:c r="H216" s="14"/>
      <x:c r="I216" s="14" t="n">
        <x:v>2018</x:v>
      </x:c>
      <x:c r="J216" s="14" t="str">
        <x:v>S06</x:v>
      </x:c>
      <x:c r="K216" s="14" t="str">
        <x:v>HISTORIQUE_CENI_2018_A_VALIDER</x:v>
      </x:c>
    </x:row>
    <x:row r="217">
      <x:c r="A217" s="14" t="n">
        <x:v>214</x:v>
      </x:c>
      <x:c r="B217" s="14" t="n">
        <x:v>18</x:v>
      </x:c>
      <x:c r="C217" s="14" t="str">
        <x:v>SECTEUR</x:v>
      </x:c>
      <x:c r="D217" s="14" t="str">
        <x:v>Lukamba</x:v>
      </x:c>
      <x:c r="E217" s="14"/>
      <x:c r="F217" s="14"/>
      <x:c r="G217" s="14"/>
      <x:c r="H217" s="14"/>
      <x:c r="I217" s="14" t="n">
        <x:v>2018</x:v>
      </x:c>
      <x:c r="J217" s="14" t="str">
        <x:v>S06</x:v>
      </x:c>
      <x:c r="K217" s="14" t="str">
        <x:v>HISTORIQUE_CENI_2018_A_VALIDER</x:v>
      </x:c>
    </x:row>
    <x:row r="218">
      <x:c r="A218" s="14" t="n">
        <x:v>215</x:v>
      </x:c>
      <x:c r="B218" s="14" t="n">
        <x:v>18</x:v>
      </x:c>
      <x:c r="C218" s="14" t="str">
        <x:v>SECTEUR</x:v>
      </x:c>
      <x:c r="D218" s="14" t="str">
        <x:v>Ngudi</x:v>
      </x:c>
      <x:c r="E218" s="14"/>
      <x:c r="F218" s="14"/>
      <x:c r="G218" s="14"/>
      <x:c r="H218" s="14"/>
      <x:c r="I218" s="14" t="n">
        <x:v>2018</x:v>
      </x:c>
      <x:c r="J218" s="14" t="str">
        <x:v>S06</x:v>
      </x:c>
      <x:c r="K218" s="14" t="str">
        <x:v>HISTORIQUE_CENI_2018_A_VALIDER</x:v>
      </x:c>
    </x:row>
    <x:row r="219">
      <x:c r="A219" s="14" t="n">
        <x:v>216</x:v>
      </x:c>
      <x:c r="B219" s="14" t="n">
        <x:v>19</x:v>
      </x:c>
      <x:c r="C219" s="14" t="str">
        <x:v>SECTEUR</x:v>
      </x:c>
      <x:c r="D219" s="14" t="str">
        <x:v>Banga</x:v>
      </x:c>
      <x:c r="E219" s="14"/>
      <x:c r="F219" s="14"/>
      <x:c r="G219" s="14"/>
      <x:c r="H219" s="14"/>
      <x:c r="I219" s="14" t="n">
        <x:v>2018</x:v>
      </x:c>
      <x:c r="J219" s="14" t="str">
        <x:v>S06</x:v>
      </x:c>
      <x:c r="K219" s="14" t="str">
        <x:v>HISTORIQUE_CENI_2018_A_VALIDER</x:v>
      </x:c>
    </x:row>
    <x:row r="220">
      <x:c r="A220" s="14" t="n">
        <x:v>217</x:v>
      </x:c>
      <x:c r="B220" s="14" t="n">
        <x:v>19</x:v>
      </x:c>
      <x:c r="C220" s="14" t="str">
        <x:v>SECTEUR</x:v>
      </x:c>
      <x:c r="D220" s="14" t="str">
        <x:v>Belo</x:v>
      </x:c>
      <x:c r="E220" s="14"/>
      <x:c r="F220" s="14"/>
      <x:c r="G220" s="14"/>
      <x:c r="H220" s="14"/>
      <x:c r="I220" s="14" t="n">
        <x:v>2018</x:v>
      </x:c>
      <x:c r="J220" s="14" t="str">
        <x:v>S06</x:v>
      </x:c>
      <x:c r="K220" s="14" t="str">
        <x:v>HISTORIQUE_CENI_2018_A_VALIDER</x:v>
      </x:c>
    </x:row>
    <x:row r="221">
      <x:c r="A221" s="14" t="n">
        <x:v>218</x:v>
      </x:c>
      <x:c r="B221" s="14" t="n">
        <x:v>19</x:v>
      </x:c>
      <x:c r="C221" s="14" t="str">
        <x:v>SECTEUR</x:v>
      </x:c>
      <x:c r="D221" s="14" t="str">
        <x:v>Bulwem</x:v>
      </x:c>
      <x:c r="E221" s="14"/>
      <x:c r="F221" s="14"/>
      <x:c r="G221" s="14"/>
      <x:c r="H221" s="14"/>
      <x:c r="I221" s="14" t="n">
        <x:v>2018</x:v>
      </x:c>
      <x:c r="J221" s="14" t="str">
        <x:v>S06</x:v>
      </x:c>
      <x:c r="K221" s="14" t="str">
        <x:v>HISTORIQUE_CENI_2018_A_VALIDER</x:v>
      </x:c>
    </x:row>
    <x:row r="222">
      <x:c r="A222" s="14" t="n">
        <x:v>219</x:v>
      </x:c>
      <x:c r="B222" s="14" t="n">
        <x:v>19</x:v>
      </x:c>
      <x:c r="C222" s="14" t="str">
        <x:v>SECTEUR</x:v>
      </x:c>
      <x:c r="D222" s="14" t="str">
        <x:v>Kalanganda</x:v>
      </x:c>
      <x:c r="E222" s="14"/>
      <x:c r="F222" s="14"/>
      <x:c r="G222" s="14"/>
      <x:c r="H222" s="14"/>
      <x:c r="I222" s="14" t="n">
        <x:v>2018</x:v>
      </x:c>
      <x:c r="J222" s="14" t="str">
        <x:v>S06</x:v>
      </x:c>
      <x:c r="K222" s="14" t="str">
        <x:v>HISTORIQUE_CENI_2018_A_VALIDER</x:v>
      </x:c>
    </x:row>
    <x:row r="223">
      <x:c r="A223" s="14" t="n">
        <x:v>220</x:v>
      </x:c>
      <x:c r="B223" s="14" t="n">
        <x:v>19</x:v>
      </x:c>
      <x:c r="C223" s="14" t="str">
        <x:v>SECTEUR</x:v>
      </x:c>
      <x:c r="D223" s="14" t="str">
        <x:v>Kanga</x:v>
      </x:c>
      <x:c r="E223" s="14"/>
      <x:c r="F223" s="14"/>
      <x:c r="G223" s="14"/>
      <x:c r="H223" s="14"/>
      <x:c r="I223" s="14" t="n">
        <x:v>2018</x:v>
      </x:c>
      <x:c r="J223" s="14" t="str">
        <x:v>S06</x:v>
      </x:c>
      <x:c r="K223" s="14" t="str">
        <x:v>HISTORIQUE_CENI_2018_A_VALIDER</x:v>
      </x:c>
    </x:row>
    <x:row r="224">
      <x:c r="A224" s="14" t="n">
        <x:v>221</x:v>
      </x:c>
      <x:c r="B224" s="14" t="n">
        <x:v>19</x:v>
      </x:c>
      <x:c r="C224" s="14" t="str">
        <x:v>SECTEUR</x:v>
      </x:c>
      <x:c r="D224" s="14" t="str">
        <x:v>Kapia</x:v>
      </x:c>
      <x:c r="E224" s="14"/>
      <x:c r="F224" s="14"/>
      <x:c r="G224" s="14"/>
      <x:c r="H224" s="14"/>
      <x:c r="I224" s="14" t="n">
        <x:v>2018</x:v>
      </x:c>
      <x:c r="J224" s="14" t="str">
        <x:v>S06</x:v>
      </x:c>
      <x:c r="K224" s="14" t="str">
        <x:v>HISTORIQUE_CENI_2018_A_VALIDER</x:v>
      </x:c>
    </x:row>
    <x:row r="225">
      <x:c r="A225" s="14" t="n">
        <x:v>222</x:v>
      </x:c>
      <x:c r="B225" s="14" t="n">
        <x:v>19</x:v>
      </x:c>
      <x:c r="C225" s="14" t="str">
        <x:v>SECTEUR</x:v>
      </x:c>
      <x:c r="D225" s="14" t="str">
        <x:v>Kipuku</x:v>
      </x:c>
      <x:c r="E225" s="14"/>
      <x:c r="F225" s="14"/>
      <x:c r="G225" s="14"/>
      <x:c r="H225" s="14"/>
      <x:c r="I225" s="14" t="n">
        <x:v>2018</x:v>
      </x:c>
      <x:c r="J225" s="14" t="str">
        <x:v>S06</x:v>
      </x:c>
      <x:c r="K225" s="14" t="str">
        <x:v>HISTORIQUE_CENI_2018_A_VALIDER</x:v>
      </x:c>
    </x:row>
    <x:row r="226">
      <x:c r="A226" s="14" t="n">
        <x:v>223</x:v>
      </x:c>
      <x:c r="B226" s="14" t="n">
        <x:v>19</x:v>
      </x:c>
      <x:c r="C226" s="14" t="str">
        <x:v>SECTEUR</x:v>
      </x:c>
      <x:c r="D226" s="14" t="str">
        <x:v>Madimbi</x:v>
      </x:c>
      <x:c r="E226" s="14"/>
      <x:c r="F226" s="14"/>
      <x:c r="G226" s="14"/>
      <x:c r="H226" s="14"/>
      <x:c r="I226" s="14" t="n">
        <x:v>2018</x:v>
      </x:c>
      <x:c r="J226" s="14" t="str">
        <x:v>S06</x:v>
      </x:c>
      <x:c r="K226" s="14" t="str">
        <x:v>HISTORIQUE_CENI_2018_A_VALIDER</x:v>
      </x:c>
    </x:row>
    <x:row r="227">
      <x:c r="A227" s="14" t="n">
        <x:v>224</x:v>
      </x:c>
      <x:c r="B227" s="14" t="n">
        <x:v>19</x:v>
      </x:c>
      <x:c r="C227" s="14" t="str">
        <x:v>SECTEUR</x:v>
      </x:c>
      <x:c r="D227" s="14" t="str">
        <x:v>Mateko</x:v>
      </x:c>
      <x:c r="E227" s="14"/>
      <x:c r="F227" s="14"/>
      <x:c r="G227" s="14"/>
      <x:c r="H227" s="14"/>
      <x:c r="I227" s="14" t="n">
        <x:v>2018</x:v>
      </x:c>
      <x:c r="J227" s="14" t="str">
        <x:v>S06</x:v>
      </x:c>
      <x:c r="K227" s="14" t="str">
        <x:v>HISTORIQUE_CENI_2018_A_VALIDER</x:v>
      </x:c>
    </x:row>
    <x:row r="228">
      <x:c r="A228" s="14" t="n">
        <x:v>225</x:v>
      </x:c>
      <x:c r="B228" s="14" t="n">
        <x:v>19</x:v>
      </x:c>
      <x:c r="C228" s="14" t="str">
        <x:v>SECTEUR</x:v>
      </x:c>
      <x:c r="D228" s="14" t="str">
        <x:v>Musanga-Idiofa</x:v>
      </x:c>
      <x:c r="E228" s="14"/>
      <x:c r="F228" s="14"/>
      <x:c r="G228" s="14"/>
      <x:c r="H228" s="14"/>
      <x:c r="I228" s="14" t="n">
        <x:v>2018</x:v>
      </x:c>
      <x:c r="J228" s="14" t="str">
        <x:v>S06</x:v>
      </x:c>
      <x:c r="K228" s="14" t="str">
        <x:v>HISTORIQUE_CENI_2018_A_VALIDER</x:v>
      </x:c>
    </x:row>
    <x:row r="229">
      <x:c r="A229" s="14" t="n">
        <x:v>226</x:v>
      </x:c>
      <x:c r="B229" s="14" t="n">
        <x:v>19</x:v>
      </x:c>
      <x:c r="C229" s="14" t="str">
        <x:v>SECTEUR</x:v>
      </x:c>
      <x:c r="D229" s="14" t="str">
        <x:v>Sedzo</x:v>
      </x:c>
      <x:c r="E229" s="14"/>
      <x:c r="F229" s="14"/>
      <x:c r="G229" s="14"/>
      <x:c r="H229" s="14"/>
      <x:c r="I229" s="14" t="n">
        <x:v>2018</x:v>
      </x:c>
      <x:c r="J229" s="14" t="str">
        <x:v>S06</x:v>
      </x:c>
      <x:c r="K229" s="14" t="str">
        <x:v>HISTORIQUE_CENI_2018_A_VALIDER</x:v>
      </x:c>
    </x:row>
    <x:row r="230">
      <x:c r="A230" s="14" t="n">
        <x:v>227</x:v>
      </x:c>
      <x:c r="B230" s="14" t="n">
        <x:v>19</x:v>
      </x:c>
      <x:c r="C230" s="14" t="str">
        <x:v>SECTEUR</x:v>
      </x:c>
      <x:c r="D230" s="14" t="str">
        <x:v>Yasa-lokwa</x:v>
      </x:c>
      <x:c r="E230" s="14"/>
      <x:c r="F230" s="14"/>
      <x:c r="G230" s="14"/>
      <x:c r="H230" s="14"/>
      <x:c r="I230" s="14" t="n">
        <x:v>2018</x:v>
      </x:c>
      <x:c r="J230" s="14" t="str">
        <x:v>S06</x:v>
      </x:c>
      <x:c r="K230" s="14" t="str">
        <x:v>HISTORIQUE_CENI_2018_A_VALIDER</x:v>
      </x:c>
    </x:row>
    <x:row r="231">
      <x:c r="A231" s="14" t="n">
        <x:v>228</x:v>
      </x:c>
      <x:c r="B231" s="14" t="n">
        <x:v>84</x:v>
      </x:c>
      <x:c r="C231" s="14" t="str">
        <x:v>CHEFFERIE</x:v>
      </x:c>
      <x:c r="D231" s="14" t="str">
        <x:v>Ntambuka</x:v>
      </x:c>
      <x:c r="E231" s="14"/>
      <x:c r="F231" s="14"/>
      <x:c r="G231" s="14"/>
      <x:c r="H231" s="14"/>
      <x:c r="I231" s="14" t="n">
        <x:v>2018</x:v>
      </x:c>
      <x:c r="J231" s="14" t="str">
        <x:v>S06</x:v>
      </x:c>
      <x:c r="K231" s="14" t="str">
        <x:v>HISTORIQUE_CENI_2018_A_VALIDER</x:v>
      </x:c>
    </x:row>
    <x:row r="232">
      <x:c r="A232" s="14" t="n">
        <x:v>229</x:v>
      </x:c>
      <x:c r="B232" s="14" t="n">
        <x:v>84</x:v>
      </x:c>
      <x:c r="C232" s="14" t="str">
        <x:v>CHEFFERIE</x:v>
      </x:c>
      <x:c r="D232" s="14" t="str">
        <x:v>Rubenga</x:v>
      </x:c>
      <x:c r="E232" s="14"/>
      <x:c r="F232" s="14"/>
      <x:c r="G232" s="14"/>
      <x:c r="H232" s="14"/>
      <x:c r="I232" s="14" t="n">
        <x:v>2018</x:v>
      </x:c>
      <x:c r="J232" s="14" t="str">
        <x:v>S06</x:v>
      </x:c>
      <x:c r="K232" s="14" t="str">
        <x:v>HISTORIQUE_CENI_2018_A_VALIDER</x:v>
      </x:c>
    </x:row>
    <x:row r="233">
      <x:c r="A233" s="14" t="n">
        <x:v>230</x:v>
      </x:c>
      <x:c r="B233" s="14" t="n">
        <x:v>51</x:v>
      </x:c>
      <x:c r="C233" s="14" t="str">
        <x:v>SECTEUR</x:v>
      </x:c>
      <x:c r="D233" s="14" t="str">
        <x:v>Loile</x:v>
      </x:c>
      <x:c r="E233" s="14"/>
      <x:c r="F233" s="14"/>
      <x:c r="G233" s="14"/>
      <x:c r="H233" s="14"/>
      <x:c r="I233" s="14" t="n">
        <x:v>2018</x:v>
      </x:c>
      <x:c r="J233" s="14" t="str">
        <x:v>S06</x:v>
      </x:c>
      <x:c r="K233" s="14" t="str">
        <x:v>HISTORIQUE_CENI_2018_A_VALIDER</x:v>
      </x:c>
    </x:row>
    <x:row r="234">
      <x:c r="A234" s="14" t="n">
        <x:v>231</x:v>
      </x:c>
      <x:c r="B234" s="14" t="n">
        <x:v>51</x:v>
      </x:c>
      <x:c r="C234" s="14" t="str">
        <x:v>SECTEUR</x:v>
      </x:c>
      <x:c r="D234" s="14" t="str">
        <x:v>Lofome</x:v>
      </x:c>
      <x:c r="E234" s="14"/>
      <x:c r="F234" s="14"/>
      <x:c r="G234" s="14"/>
      <x:c r="H234" s="14"/>
      <x:c r="I234" s="14" t="n">
        <x:v>2018</x:v>
      </x:c>
      <x:c r="J234" s="14" t="str">
        <x:v>S06</x:v>
      </x:c>
      <x:c r="K234" s="14" t="str">
        <x:v>HISTORIQUE_CENI_2018_A_VALIDER</x:v>
      </x:c>
    </x:row>
    <x:row r="235">
      <x:c r="A235" s="14" t="n">
        <x:v>232</x:v>
      </x:c>
      <x:c r="B235" s="14" t="n">
        <x:v>51</x:v>
      </x:c>
      <x:c r="C235" s="14" t="str">
        <x:v>SECTEUR</x:v>
      </x:c>
      <x:c r="D235" s="14" t="str">
        <x:v>Lokina</x:v>
      </x:c>
      <x:c r="E235" s="14"/>
      <x:c r="F235" s="14"/>
      <x:c r="G235" s="14"/>
      <x:c r="H235" s="14"/>
      <x:c r="I235" s="14" t="n">
        <x:v>2018</x:v>
      </x:c>
      <x:c r="J235" s="14" t="str">
        <x:v>S06</x:v>
      </x:c>
      <x:c r="K235" s="14" t="str">
        <x:v>HISTORIQUE_CENI_2018_A_VALIDER</x:v>
      </x:c>
    </x:row>
    <x:row r="236">
      <x:c r="A236" s="14" t="n">
        <x:v>233</x:v>
      </x:c>
      <x:c r="B236" s="14" t="n">
        <x:v>51</x:v>
      </x:c>
      <x:c r="C236" s="14" t="str">
        <x:v>SECTEUR</x:v>
      </x:c>
      <x:c r="D236" s="14" t="str">
        <x:v>Tumbenga</x:v>
      </x:c>
      <x:c r="E236" s="14"/>
      <x:c r="F236" s="14"/>
      <x:c r="G236" s="14"/>
      <x:c r="H236" s="14"/>
      <x:c r="I236" s="14" t="n">
        <x:v>2018</x:v>
      </x:c>
      <x:c r="J236" s="14" t="str">
        <x:v>S06</x:v>
      </x:c>
      <x:c r="K236" s="14" t="str">
        <x:v>HISTORIQUE_CENI_2018_A_VALIDER</x:v>
      </x:c>
    </x:row>
    <x:row r="237">
      <x:c r="A237" s="14" t="n">
        <x:v>234</x:v>
      </x:c>
      <x:c r="B237" s="14" t="n">
        <x:v>51</x:v>
      </x:c>
      <x:c r="C237" s="14" t="str">
        <x:v>SECTEUR</x:v>
      </x:c>
      <x:c r="D237" s="14" t="str">
        <x:v>Tshuapa</x:v>
      </x:c>
      <x:c r="E237" s="14"/>
      <x:c r="F237" s="14"/>
      <x:c r="G237" s="14"/>
      <x:c r="H237" s="14"/>
      <x:c r="I237" s="14" t="n">
        <x:v>2018</x:v>
      </x:c>
      <x:c r="J237" s="14" t="str">
        <x:v>S06</x:v>
      </x:c>
      <x:c r="K237" s="14" t="str">
        <x:v>HISTORIQUE_CENI_2018_A_VALIDER</x:v>
      </x:c>
    </x:row>
    <x:row r="238">
      <x:c r="A238" s="14" t="n">
        <x:v>235</x:v>
      </x:c>
      <x:c r="B238" s="14" t="n">
        <x:v>142</x:v>
      </x:c>
      <x:c r="C238" s="14" t="str">
        <x:v>SECTEUR</x:v>
      </x:c>
      <x:c r="D238" s="14" t="str">
        <x:v>Basongo</x:v>
      </x:c>
      <x:c r="E238" s="14"/>
      <x:c r="F238" s="14"/>
      <x:c r="G238" s="14"/>
      <x:c r="H238" s="14"/>
      <x:c r="I238" s="14" t="n">
        <x:v>2018</x:v>
      </x:c>
      <x:c r="J238" s="14" t="str">
        <x:v>S06</x:v>
      </x:c>
      <x:c r="K238" s="14" t="str">
        <x:v>HISTORIQUE_CENI_2018_A_VALIDER</x:v>
      </x:c>
    </x:row>
    <x:row r="239">
      <x:c r="A239" s="14" t="n">
        <x:v>236</x:v>
      </x:c>
      <x:c r="B239" s="14" t="n">
        <x:v>142</x:v>
      </x:c>
      <x:c r="C239" s="14" t="str">
        <x:v>SECTEUR</x:v>
      </x:c>
      <x:c r="D239" s="14" t="str">
        <x:v>Mapangu</x:v>
      </x:c>
      <x:c r="E239" s="14"/>
      <x:c r="F239" s="14"/>
      <x:c r="G239" s="14"/>
      <x:c r="H239" s="14"/>
      <x:c r="I239" s="14" t="n">
        <x:v>2018</x:v>
      </x:c>
      <x:c r="J239" s="14" t="str">
        <x:v>S06</x:v>
      </x:c>
      <x:c r="K239" s="14" t="str">
        <x:v>HISTORIQUE_CENI_2018_A_VALIDER</x:v>
      </x:c>
    </x:row>
    <x:row r="240">
      <x:c r="A240" s="14" t="n">
        <x:v>237</x:v>
      </x:c>
      <x:c r="B240" s="14" t="n">
        <x:v>142</x:v>
      </x:c>
      <x:c r="C240" s="14" t="str">
        <x:v>SECTEUR</x:v>
      </x:c>
      <x:c r="D240" s="14" t="str">
        <x:v>Malu-Malu</x:v>
      </x:c>
      <x:c r="E240" s="14"/>
      <x:c r="F240" s="14"/>
      <x:c r="G240" s="14"/>
      <x:c r="H240" s="14"/>
      <x:c r="I240" s="14" t="n">
        <x:v>2018</x:v>
      </x:c>
      <x:c r="J240" s="14" t="str">
        <x:v>S06</x:v>
      </x:c>
      <x:c r="K240" s="14" t="str">
        <x:v>HISTORIQUE_CENI_2018_A_VALIDER</x:v>
      </x:c>
    </x:row>
    <x:row r="241">
      <x:c r="A241" s="14" t="n">
        <x:v>238</x:v>
      </x:c>
      <x:c r="B241" s="14" t="n">
        <x:v>142</x:v>
      </x:c>
      <x:c r="C241" s="14" t="str">
        <x:v>SECTEUR</x:v>
      </x:c>
      <x:c r="D241" s="14" t="str">
        <x:v>Sud-Banga</x:v>
      </x:c>
      <x:c r="E241" s="14"/>
      <x:c r="F241" s="14"/>
      <x:c r="G241" s="14"/>
      <x:c r="H241" s="14"/>
      <x:c r="I241" s="14" t="n">
        <x:v>2018</x:v>
      </x:c>
      <x:c r="J241" s="14" t="str">
        <x:v>S06</x:v>
      </x:c>
      <x:c r="K241" s="14" t="str">
        <x:v>HISTORIQUE_CENI_2018_A_VALIDER</x:v>
      </x:c>
    </x:row>
    <x:row r="242">
      <x:c r="A242" s="14" t="n">
        <x:v>239</x:v>
      </x:c>
      <x:c r="B242" s="14" t="n">
        <x:v>33</x:v>
      </x:c>
      <x:c r="C242" s="14" t="str">
        <x:v>SECTEUR</x:v>
      </x:c>
      <x:c r="D242" s="14" t="str">
        <x:v>Bokatola</x:v>
      </x:c>
      <x:c r="E242" s="14"/>
      <x:c r="F242" s="14"/>
      <x:c r="G242" s="14"/>
      <x:c r="H242" s="14"/>
      <x:c r="I242" s="14" t="n">
        <x:v>2018</x:v>
      </x:c>
      <x:c r="J242" s="14" t="str">
        <x:v>S06</x:v>
      </x:c>
      <x:c r="K242" s="14" t="str">
        <x:v>HISTORIQUE_CENI_2018_A_VALIDER</x:v>
      </x:c>
    </x:row>
    <x:row r="243">
      <x:c r="A243" s="14" t="n">
        <x:v>240</x:v>
      </x:c>
      <x:c r="B243" s="14" t="n">
        <x:v>33</x:v>
      </x:c>
      <x:c r="C243" s="14" t="str">
        <x:v>SECTEUR</x:v>
      </x:c>
      <x:c r="D243" s="14" t="str">
        <x:v>Duali</x:v>
      </x:c>
      <x:c r="E243" s="14"/>
      <x:c r="F243" s="14"/>
      <x:c r="G243" s="14"/>
      <x:c r="H243" s="14"/>
      <x:c r="I243" s="14" t="n">
        <x:v>2018</x:v>
      </x:c>
      <x:c r="J243" s="14" t="str">
        <x:v>S06</x:v>
      </x:c>
      <x:c r="K243" s="14" t="str">
        <x:v>HISTORIQUE_CENI_2018_A_VALIDER</x:v>
      </x:c>
    </x:row>
    <x:row r="244">
      <x:c r="A244" s="14" t="n">
        <x:v>241</x:v>
      </x:c>
      <x:c r="B244" s="14" t="n">
        <x:v>33</x:v>
      </x:c>
      <x:c r="C244" s="14" t="str">
        <x:v>SECTEUR</x:v>
      </x:c>
      <x:c r="D244" s="14" t="str">
        <x:v>Eungu</x:v>
      </x:c>
      <x:c r="E244" s="14"/>
      <x:c r="F244" s="14"/>
      <x:c r="G244" s="14"/>
      <x:c r="H244" s="14"/>
      <x:c r="I244" s="14" t="n">
        <x:v>2018</x:v>
      </x:c>
      <x:c r="J244" s="14" t="str">
        <x:v>S06</x:v>
      </x:c>
      <x:c r="K244" s="14" t="str">
        <x:v>HISTORIQUE_CENI_2018_A_VALIDER</x:v>
      </x:c>
    </x:row>
    <x:row r="245">
      <x:c r="A245" s="14" t="n">
        <x:v>242</x:v>
      </x:c>
      <x:c r="B245" s="14" t="n">
        <x:v>22</x:v>
      </x:c>
      <x:c r="C245" s="14" t="str">
        <x:v>SECTEUR</x:v>
      </x:c>
      <x:c r="D245" s="14" t="str">
        <x:v>Basengele</x:v>
      </x:c>
      <x:c r="E245" s="14"/>
      <x:c r="F245" s="14"/>
      <x:c r="G245" s="14"/>
      <x:c r="H245" s="14"/>
      <x:c r="I245" s="14" t="n">
        <x:v>2018</x:v>
      </x:c>
      <x:c r="J245" s="14" t="str">
        <x:v>S06</x:v>
      </x:c>
      <x:c r="K245" s="14" t="str">
        <x:v>HISTORIQUE_CENI_2018_A_VALIDER</x:v>
      </x:c>
    </x:row>
    <x:row r="246">
      <x:c r="A246" s="14" t="n">
        <x:v>243</x:v>
      </x:c>
      <x:c r="B246" s="14" t="n">
        <x:v>22</x:v>
      </x:c>
      <x:c r="C246" s="14" t="str">
        <x:v>SECTEUR</x:v>
      </x:c>
      <x:c r="D246" s="14" t="str">
        <x:v>Bolia</x:v>
      </x:c>
      <x:c r="E246" s="14"/>
      <x:c r="F246" s="14"/>
      <x:c r="G246" s="14"/>
      <x:c r="H246" s="14"/>
      <x:c r="I246" s="14" t="n">
        <x:v>2018</x:v>
      </x:c>
      <x:c r="J246" s="14" t="str">
        <x:v>S06</x:v>
      </x:c>
      <x:c r="K246" s="14" t="str">
        <x:v>HISTORIQUE_CENI_2018_A_VALIDER</x:v>
      </x:c>
    </x:row>
    <x:row r="247">
      <x:c r="A247" s="14" t="n">
        <x:v>244</x:v>
      </x:c>
      <x:c r="B247" s="14" t="n">
        <x:v>22</x:v>
      </x:c>
      <x:c r="C247" s="14" t="str">
        <x:v>SECTEUR</x:v>
      </x:c>
      <x:c r="D247" s="14" t="str">
        <x:v>Inongo</x:v>
      </x:c>
      <x:c r="E247" s="14"/>
      <x:c r="F247" s="14"/>
      <x:c r="G247" s="14"/>
      <x:c r="H247" s="14"/>
      <x:c r="I247" s="14" t="n">
        <x:v>2018</x:v>
      </x:c>
      <x:c r="J247" s="14" t="str">
        <x:v>S06</x:v>
      </x:c>
      <x:c r="K247" s="14" t="str">
        <x:v>HISTORIQUE_CENI_2018_A_VALIDER</x:v>
      </x:c>
    </x:row>
    <x:row r="248">
      <x:c r="A248" s="14" t="n">
        <x:v>245</x:v>
      </x:c>
      <x:c r="B248" s="14" t="n">
        <x:v>74</x:v>
      </x:c>
      <x:c r="C248" s="14" t="str">
        <x:v>CHEFFERIE</x:v>
      </x:c>
      <x:c r="D248" s="14" t="str">
        <x:v>Andisoma</x:v>
      </x:c>
      <x:c r="E248" s="14"/>
      <x:c r="F248" s="14"/>
      <x:c r="G248" s="14"/>
      <x:c r="H248" s="14"/>
      <x:c r="I248" s="14" t="n">
        <x:v>2018</x:v>
      </x:c>
      <x:c r="J248" s="14" t="str">
        <x:v>S06</x:v>
      </x:c>
      <x:c r="K248" s="14" t="str">
        <x:v>HISTORIQUE_CENI_2018_A_VALIDER</x:v>
      </x:c>
    </x:row>
    <x:row r="249">
      <x:c r="A249" s="14" t="n">
        <x:v>246</x:v>
      </x:c>
      <x:c r="B249" s="14" t="n">
        <x:v>74</x:v>
      </x:c>
      <x:c r="C249" s="14" t="str">
        <x:v>CHEFFERIE</x:v>
      </x:c>
      <x:c r="D249" s="14" t="str">
        <x:v>Babelebe</x:v>
      </x:c>
      <x:c r="E249" s="14"/>
      <x:c r="F249" s="14"/>
      <x:c r="G249" s="14"/>
      <x:c r="H249" s="14"/>
      <x:c r="I249" s="14" t="n">
        <x:v>2018</x:v>
      </x:c>
      <x:c r="J249" s="14" t="str">
        <x:v>S06</x:v>
      </x:c>
      <x:c r="K249" s="14" t="str">
        <x:v>HISTORIQUE_CENI_2018_A_VALIDER</x:v>
      </x:c>
    </x:row>
    <x:row r="250">
      <x:c r="A250" s="14" t="n">
        <x:v>247</x:v>
      </x:c>
      <x:c r="B250" s="14" t="n">
        <x:v>74</x:v>
      </x:c>
      <x:c r="C250" s="14" t="str">
        <x:v>CHEFFERIE</x:v>
      </x:c>
      <x:c r="D250" s="14" t="str">
        <x:v>Baboa-Bakoe</x:v>
      </x:c>
      <x:c r="E250" s="14"/>
      <x:c r="F250" s="14"/>
      <x:c r="G250" s="14"/>
      <x:c r="H250" s="14"/>
      <x:c r="I250" s="14" t="n">
        <x:v>2018</x:v>
      </x:c>
      <x:c r="J250" s="14" t="str">
        <x:v>S06</x:v>
      </x:c>
      <x:c r="K250" s="14" t="str">
        <x:v>HISTORIQUE_CENI_2018_A_VALIDER</x:v>
      </x:c>
    </x:row>
    <x:row r="251">
      <x:c r="A251" s="14" t="n">
        <x:v>248</x:v>
      </x:c>
      <x:c r="B251" s="14" t="n">
        <x:v>74</x:v>
      </x:c>
      <x:c r="C251" s="14" t="str">
        <x:v>CHEFFERIE</x:v>
      </x:c>
      <x:c r="D251" s="14" t="str">
        <x:v>Bahema-Boga</x:v>
      </x:c>
      <x:c r="E251" s="14"/>
      <x:c r="F251" s="14"/>
      <x:c r="G251" s="14"/>
      <x:c r="H251" s="14"/>
      <x:c r="I251" s="14" t="n">
        <x:v>2018</x:v>
      </x:c>
      <x:c r="J251" s="14" t="str">
        <x:v>S06</x:v>
      </x:c>
      <x:c r="K251" s="14" t="str">
        <x:v>HISTORIQUE_CENI_2018_A_VALIDER</x:v>
      </x:c>
    </x:row>
    <x:row r="252">
      <x:c r="A252" s="14" t="n">
        <x:v>249</x:v>
      </x:c>
      <x:c r="B252" s="14" t="n">
        <x:v>74</x:v>
      </x:c>
      <x:c r="C252" s="14" t="str">
        <x:v>CHEFFERIE</x:v>
      </x:c>
      <x:c r="D252" s="14" t="str">
        <x:v>Bahema d'Irumu</x:v>
      </x:c>
      <x:c r="E252" s="14"/>
      <x:c r="F252" s="14"/>
      <x:c r="G252" s="14"/>
      <x:c r="H252" s="14"/>
      <x:c r="I252" s="14" t="n">
        <x:v>2018</x:v>
      </x:c>
      <x:c r="J252" s="14" t="str">
        <x:v>S06</x:v>
      </x:c>
      <x:c r="K252" s="14" t="str">
        <x:v>HISTORIQUE_CENI_2018_A_VALIDER</x:v>
      </x:c>
    </x:row>
    <x:row r="253">
      <x:c r="A253" s="14" t="n">
        <x:v>250</x:v>
      </x:c>
      <x:c r="B253" s="14" t="n">
        <x:v>74</x:v>
      </x:c>
      <x:c r="C253" s="14" t="str">
        <x:v>CHEFFERIE</x:v>
      </x:c>
      <x:c r="D253" s="14" t="str">
        <x:v>Bahema Mitego</x:v>
      </x:c>
      <x:c r="E253" s="14"/>
      <x:c r="F253" s="14"/>
      <x:c r="G253" s="14"/>
      <x:c r="H253" s="14"/>
      <x:c r="I253" s="14" t="n">
        <x:v>2018</x:v>
      </x:c>
      <x:c r="J253" s="14" t="str">
        <x:v>S06</x:v>
      </x:c>
      <x:c r="K253" s="14" t="str">
        <x:v>HISTORIQUE_CENI_2018_A_VALIDER</x:v>
      </x:c>
    </x:row>
    <x:row r="254">
      <x:c r="A254" s="14" t="n">
        <x:v>251</x:v>
      </x:c>
      <x:c r="B254" s="14" t="n">
        <x:v>74</x:v>
      </x:c>
      <x:c r="C254" s="14" t="str">
        <x:v>CHEFFERIE</x:v>
      </x:c>
      <x:c r="D254" s="14" t="str">
        <x:v>Bahema Sud</x:v>
      </x:c>
      <x:c r="E254" s="14"/>
      <x:c r="F254" s="14"/>
      <x:c r="G254" s="14"/>
      <x:c r="H254" s="14"/>
      <x:c r="I254" s="14" t="n">
        <x:v>2018</x:v>
      </x:c>
      <x:c r="J254" s="14" t="str">
        <x:v>S06</x:v>
      </x:c>
      <x:c r="K254" s="14" t="str">
        <x:v>HISTORIQUE_CENI_2018_A_VALIDER</x:v>
      </x:c>
    </x:row>
    <x:row r="255">
      <x:c r="A255" s="14" t="n">
        <x:v>252</x:v>
      </x:c>
      <x:c r="B255" s="14" t="n">
        <x:v>74</x:v>
      </x:c>
      <x:c r="C255" s="14" t="str">
        <x:v>CHEFFERIE</x:v>
      </x:c>
      <x:c r="D255" s="14" t="str">
        <x:v>Baniari-Tchabi</x:v>
      </x:c>
      <x:c r="E255" s="14"/>
      <x:c r="F255" s="14"/>
      <x:c r="G255" s="14"/>
      <x:c r="H255" s="14"/>
      <x:c r="I255" s="14" t="n">
        <x:v>2018</x:v>
      </x:c>
      <x:c r="J255" s="14" t="str">
        <x:v>S06</x:v>
      </x:c>
      <x:c r="K255" s="14" t="str">
        <x:v>HISTORIQUE_CENI_2018_A_VALIDER</x:v>
      </x:c>
    </x:row>
    <x:row r="256">
      <x:c r="A256" s="14" t="n">
        <x:v>253</x:v>
      </x:c>
      <x:c r="B256" s="14" t="n">
        <x:v>74</x:v>
      </x:c>
      <x:c r="C256" s="14" t="str">
        <x:v>CHEFFERIE</x:v>
      </x:c>
      <x:c r="D256" s="14" t="str">
        <x:v>Basili</x:v>
      </x:c>
      <x:c r="E256" s="14"/>
      <x:c r="F256" s="14"/>
      <x:c r="G256" s="14"/>
      <x:c r="H256" s="14"/>
      <x:c r="I256" s="14" t="n">
        <x:v>2018</x:v>
      </x:c>
      <x:c r="J256" s="14" t="str">
        <x:v>S06</x:v>
      </x:c>
      <x:c r="K256" s="14" t="str">
        <x:v>HISTORIQUE_CENI_2018_A_VALIDER</x:v>
      </x:c>
    </x:row>
    <x:row r="257">
      <x:c r="A257" s="14" t="n">
        <x:v>254</x:v>
      </x:c>
      <x:c r="B257" s="14" t="n">
        <x:v>74</x:v>
      </x:c>
      <x:c r="C257" s="14" t="str">
        <x:v>CHEFFERIE</x:v>
      </x:c>
      <x:c r="D257" s="14" t="str">
        <x:v>Mobala</x:v>
      </x:c>
      <x:c r="E257" s="14"/>
      <x:c r="F257" s="14"/>
      <x:c r="G257" s="14"/>
      <x:c r="H257" s="14"/>
      <x:c r="I257" s="14" t="n">
        <x:v>2018</x:v>
      </x:c>
      <x:c r="J257" s="14" t="str">
        <x:v>S06</x:v>
      </x:c>
      <x:c r="K257" s="14" t="str">
        <x:v>HISTORIQUE_CENI_2018_A_VALIDER</x:v>
      </x:c>
    </x:row>
    <x:row r="258">
      <x:c r="A258" s="14" t="n">
        <x:v>255</x:v>
      </x:c>
      <x:c r="B258" s="14" t="n">
        <x:v>74</x:v>
      </x:c>
      <x:c r="C258" s="14" t="str">
        <x:v>CHEFFERIE</x:v>
      </x:c>
      <x:c r="D258" s="14" t="str">
        <x:v>Walendu Bindi</x:v>
      </x:c>
      <x:c r="E258" s="14"/>
      <x:c r="F258" s="14"/>
      <x:c r="G258" s="14"/>
      <x:c r="H258" s="14"/>
      <x:c r="I258" s="14" t="n">
        <x:v>2018</x:v>
      </x:c>
      <x:c r="J258" s="14" t="str">
        <x:v>S06</x:v>
      </x:c>
      <x:c r="K258" s="14" t="str">
        <x:v>HISTORIQUE_CENI_2018_A_VALIDER</x:v>
      </x:c>
    </x:row>
    <x:row r="259">
      <x:c r="A259" s="14" t="n">
        <x:v>256</x:v>
      </x:c>
      <x:c r="B259" s="14" t="n">
        <x:v>74</x:v>
      </x:c>
      <x:c r="C259" s="14" t="str">
        <x:v>CHEFFERIE</x:v>
      </x:c>
      <x:c r="D259" s="14" t="str">
        <x:v>Walese Vonkutu</x:v>
      </x:c>
      <x:c r="E259" s="14"/>
      <x:c r="F259" s="14"/>
      <x:c r="G259" s="14"/>
      <x:c r="H259" s="14"/>
      <x:c r="I259" s="14" t="n">
        <x:v>2018</x:v>
      </x:c>
      <x:c r="J259" s="14" t="str">
        <x:v>S06</x:v>
      </x:c>
      <x:c r="K259" s="14" t="str">
        <x:v>HISTORIQUE_CENI_2018_A_VALIDER</x:v>
      </x:c>
    </x:row>
    <x:row r="260">
      <x:c r="A260" s="14" t="n">
        <x:v>257</x:v>
      </x:c>
      <x:c r="B260" s="14" t="n">
        <x:v>56</x:v>
      </x:c>
      <x:c r="C260" s="14" t="str">
        <x:v>CHEFFERIE</x:v>
      </x:c>
      <x:c r="D260" s="14" t="str">
        <x:v>Baluolambila</x:v>
      </x:c>
      <x:c r="E260" s="14"/>
      <x:c r="F260" s="14"/>
      <x:c r="G260" s="14"/>
      <x:c r="H260" s="14"/>
      <x:c r="I260" s="14" t="n">
        <x:v>2018</x:v>
      </x:c>
      <x:c r="J260" s="14" t="str">
        <x:v>S06</x:v>
      </x:c>
      <x:c r="K260" s="14" t="str">
        <x:v>HISTORIQUE_CENI_2018_A_VALIDER</x:v>
      </x:c>
    </x:row>
    <x:row r="261">
      <x:c r="A261" s="14" t="n">
        <x:v>258</x:v>
      </x:c>
      <x:c r="B261" s="14" t="n">
        <x:v>56</x:v>
      </x:c>
      <x:c r="C261" s="14" t="str">
        <x:v>SECTEUR</x:v>
      </x:c>
      <x:c r="D261" s="14" t="str">
        <x:v>Bambelota</x:v>
      </x:c>
      <x:c r="E261" s="14"/>
      <x:c r="F261" s="14"/>
      <x:c r="G261" s="14"/>
      <x:c r="H261" s="14"/>
      <x:c r="I261" s="14" t="n">
        <x:v>2018</x:v>
      </x:c>
      <x:c r="J261" s="14" t="str">
        <x:v>S06</x:v>
      </x:c>
      <x:c r="K261" s="14" t="str">
        <x:v>HISTORIQUE_CENI_2018_A_VALIDER</x:v>
      </x:c>
    </x:row>
    <x:row r="262">
      <x:c r="A262" s="14" t="n">
        <x:v>259</x:v>
      </x:c>
      <x:c r="B262" s="14" t="n">
        <x:v>56</x:v>
      </x:c>
      <x:c r="C262" s="14" t="str">
        <x:v>CHEFFERIE</x:v>
      </x:c>
      <x:c r="D262" s="14" t="str">
        <x:v>Bolomboki</x:v>
      </x:c>
      <x:c r="E262" s="14"/>
      <x:c r="F262" s="14"/>
      <x:c r="G262" s="14"/>
      <x:c r="H262" s="14"/>
      <x:c r="I262" s="14" t="n">
        <x:v>2018</x:v>
      </x:c>
      <x:c r="J262" s="14" t="str">
        <x:v>S06</x:v>
      </x:c>
      <x:c r="K262" s="14" t="str">
        <x:v>HISTORIQUE_CENI_2018_A_VALIDER</x:v>
      </x:c>
    </x:row>
    <x:row r="263">
      <x:c r="A263" s="14" t="n">
        <x:v>260</x:v>
      </x:c>
      <x:c r="B263" s="14" t="n">
        <x:v>56</x:v>
      </x:c>
      <x:c r="C263" s="14" t="str">
        <x:v>CHEFFERIE</x:v>
      </x:c>
      <x:c r="D263" s="14" t="str">
        <x:v>Kombe</x:v>
      </x:c>
      <x:c r="E263" s="14"/>
      <x:c r="F263" s="14"/>
      <x:c r="G263" s="14"/>
      <x:c r="H263" s="14"/>
      <x:c r="I263" s="14" t="n">
        <x:v>2018</x:v>
      </x:c>
      <x:c r="J263" s="14" t="str">
        <x:v>S06</x:v>
      </x:c>
      <x:c r="K263" s="14" t="str">
        <x:v>HISTORIQUE_CENI_2018_A_VALIDER</x:v>
      </x:c>
    </x:row>
    <x:row r="264">
      <x:c r="A264" s="14" t="n">
        <x:v>261</x:v>
      </x:c>
      <x:c r="B264" s="14" t="n">
        <x:v>56</x:v>
      </x:c>
      <x:c r="C264" s="14" t="str">
        <x:v>SECTEUR</x:v>
      </x:c>
      <x:c r="D264" s="14" t="str">
        <x:v>Liutua</x:v>
      </x:c>
      <x:c r="E264" s="14"/>
      <x:c r="F264" s="14"/>
      <x:c r="G264" s="14"/>
      <x:c r="H264" s="14"/>
      <x:c r="I264" s="14" t="n">
        <x:v>2018</x:v>
      </x:c>
      <x:c r="J264" s="14" t="str">
        <x:v>S06</x:v>
      </x:c>
      <x:c r="K264" s="14" t="str">
        <x:v>HISTORIQUE_CENI_2018_A_VALIDER</x:v>
      </x:c>
    </x:row>
    <x:row r="265">
      <x:c r="A265" s="14" t="n">
        <x:v>262</x:v>
      </x:c>
      <x:c r="B265" s="14" t="n">
        <x:v>56</x:v>
      </x:c>
      <x:c r="C265" s="14" t="str">
        <x:v>SECTEUR</x:v>
      </x:c>
      <x:c r="D265" s="14" t="str">
        <x:v>Lokombe</x:v>
      </x:c>
      <x:c r="E265" s="14"/>
      <x:c r="F265" s="14"/>
      <x:c r="G265" s="14"/>
      <x:c r="H265" s="14"/>
      <x:c r="I265" s="14" t="n">
        <x:v>2018</x:v>
      </x:c>
      <x:c r="J265" s="14" t="str">
        <x:v>S06</x:v>
      </x:c>
      <x:c r="K265" s="14" t="str">
        <x:v>HISTORIQUE_CENI_2018_A_VALIDER</x:v>
      </x:c>
    </x:row>
    <x:row r="266">
      <x:c r="A266" s="14" t="n">
        <x:v>263</x:v>
      </x:c>
      <x:c r="B266" s="14" t="n">
        <x:v>56</x:v>
      </x:c>
      <x:c r="C266" s="14" t="str">
        <x:v>SECTEUR</x:v>
      </x:c>
      <x:c r="D266" s="14" t="str">
        <x:v>Lueta</x:v>
      </x:c>
      <x:c r="E266" s="14"/>
      <x:c r="F266" s="14"/>
      <x:c r="G266" s="14"/>
      <x:c r="H266" s="14"/>
      <x:c r="I266" s="14" t="n">
        <x:v>2018</x:v>
      </x:c>
      <x:c r="J266" s="14" t="str">
        <x:v>S06</x:v>
      </x:c>
      <x:c r="K266" s="14" t="str">
        <x:v>HISTORIQUE_CENI_2018_A_VALIDER</x:v>
      </x:c>
    </x:row>
    <x:row r="267">
      <x:c r="A267" s="14" t="n">
        <x:v>264</x:v>
      </x:c>
      <x:c r="B267" s="14" t="n">
        <x:v>56</x:v>
      </x:c>
      <x:c r="C267" s="14" t="str">
        <x:v>SECTEUR</x:v>
      </x:c>
      <x:c r="D267" s="14" t="str">
        <x:v>Turumbu</x:v>
      </x:c>
      <x:c r="E267" s="14"/>
      <x:c r="F267" s="14"/>
      <x:c r="G267" s="14"/>
      <x:c r="H267" s="14"/>
      <x:c r="I267" s="14" t="n">
        <x:v>2018</x:v>
      </x:c>
      <x:c r="J267" s="14" t="str">
        <x:v>S06</x:v>
      </x:c>
      <x:c r="K267" s="14" t="str">
        <x:v>HISTORIQUE_CENI_2018_A_VALIDER</x:v>
      </x:c>
    </x:row>
    <x:row r="268">
      <x:c r="A268" s="14" t="n">
        <x:v>265</x:v>
      </x:c>
      <x:c r="B268" s="14" t="n">
        <x:v>56</x:v>
      </x:c>
      <x:c r="C268" s="14" t="str">
        <x:v>CHEFFERIE</x:v>
      </x:c>
      <x:c r="D268" s="14" t="str">
        <x:v>Yalihila</x:v>
      </x:c>
      <x:c r="E268" s="14"/>
      <x:c r="F268" s="14"/>
      <x:c r="G268" s="14"/>
      <x:c r="H268" s="14"/>
      <x:c r="I268" s="14" t="n">
        <x:v>2018</x:v>
      </x:c>
      <x:c r="J268" s="14" t="str">
        <x:v>S06</x:v>
      </x:c>
      <x:c r="K268" s="14" t="str">
        <x:v>HISTORIQUE_CENI_2018_A_VALIDER</x:v>
      </x:c>
    </x:row>
    <x:row r="269">
      <x:c r="A269" s="14" t="n">
        <x:v>266</x:v>
      </x:c>
      <x:c r="B269" s="14" t="n">
        <x:v>56</x:v>
      </x:c>
      <x:c r="C269" s="14" t="str">
        <x:v>SECTEUR</x:v>
      </x:c>
      <x:c r="D269" s="14" t="str">
        <x:v>Yalikandja-Yanongo</x:v>
      </x:c>
      <x:c r="E269" s="14"/>
      <x:c r="F269" s="14"/>
      <x:c r="G269" s="14"/>
      <x:c r="H269" s="14"/>
      <x:c r="I269" s="14" t="n">
        <x:v>2018</x:v>
      </x:c>
      <x:c r="J269" s="14" t="str">
        <x:v>S06</x:v>
      </x:c>
      <x:c r="K269" s="14" t="str">
        <x:v>HISTORIQUE_CENI_2018_A_VALIDER</x:v>
      </x:c>
    </x:row>
    <x:row r="270">
      <x:c r="A270" s="14" t="n">
        <x:v>267</x:v>
      </x:c>
      <x:c r="B270" s="14" t="n">
        <x:v>56</x:v>
      </x:c>
      <x:c r="C270" s="14" t="str">
        <x:v>CHEFFERIE</x:v>
      </x:c>
      <x:c r="D270" s="14" t="str">
        <x:v>Yalikoka-Mboso</x:v>
      </x:c>
      <x:c r="E270" s="14"/>
      <x:c r="F270" s="14"/>
      <x:c r="G270" s="14"/>
      <x:c r="H270" s="14"/>
      <x:c r="I270" s="14" t="n">
        <x:v>2018</x:v>
      </x:c>
      <x:c r="J270" s="14" t="str">
        <x:v>S06</x:v>
      </x:c>
      <x:c r="K270" s="14" t="str">
        <x:v>HISTORIQUE_CENI_2018_A_VALIDER</x:v>
      </x:c>
    </x:row>
    <x:row r="271">
      <x:c r="A271" s="14" t="n">
        <x:v>268</x:v>
      </x:c>
      <x:c r="B271" s="14" t="n">
        <x:v>56</x:v>
      </x:c>
      <x:c r="C271" s="14" t="str">
        <x:v>SECTEUR</x:v>
      </x:c>
      <x:c r="D271" s="14" t="str">
        <x:v>Yaokandja</x:v>
      </x:c>
      <x:c r="E271" s="14"/>
      <x:c r="F271" s="14"/>
      <x:c r="G271" s="14"/>
      <x:c r="H271" s="14"/>
      <x:c r="I271" s="14" t="n">
        <x:v>2018</x:v>
      </x:c>
      <x:c r="J271" s="14" t="str">
        <x:v>S06</x:v>
      </x:c>
      <x:c r="K271" s="14" t="str">
        <x:v>HISTORIQUE_CENI_2018_A_VALIDER</x:v>
      </x:c>
    </x:row>
    <x:row r="272">
      <x:c r="A272" s="14" t="n">
        <x:v>269</x:v>
      </x:c>
      <x:c r="B272" s="14" t="n">
        <x:v>56</x:v>
      </x:c>
      <x:c r="C272" s="14" t="str">
        <x:v>SECTEUR</x:v>
      </x:c>
      <x:c r="D272" s="14" t="str">
        <x:v>Yawembe-Basoa</x:v>
      </x:c>
      <x:c r="E272" s="14"/>
      <x:c r="F272" s="14"/>
      <x:c r="G272" s="14"/>
      <x:c r="H272" s="14"/>
      <x:c r="I272" s="14" t="n">
        <x:v>2018</x:v>
      </x:c>
      <x:c r="J272" s="14" t="str">
        <x:v>S06</x:v>
      </x:c>
      <x:c r="K272" s="14" t="str">
        <x:v>HISTORIQUE_CENI_2018_A_VALIDER</x:v>
      </x:c>
    </x:row>
    <x:row r="273">
      <x:c r="A273" s="14" t="n">
        <x:v>270</x:v>
      </x:c>
      <x:c r="B273" s="14" t="n">
        <x:v>114</x:v>
      </x:c>
      <x:c r="C273" s="14" t="str">
        <x:v>SECTEUR</x:v>
      </x:c>
      <x:c r="D273" s="14" t="str">
        <x:v>Luela-Luvunguye</x:v>
      </x:c>
      <x:c r="E273" s="14"/>
      <x:c r="F273" s="14"/>
      <x:c r="G273" s="14"/>
      <x:c r="H273" s="14"/>
      <x:c r="I273" s="14" t="n">
        <x:v>2018</x:v>
      </x:c>
      <x:c r="J273" s="14" t="str">
        <x:v>S06</x:v>
      </x:c>
      <x:c r="K273" s="14" t="str">
        <x:v>HISTORIQUE_CENI_2018_A_VALIDER</x:v>
      </x:c>
    </x:row>
    <x:row r="274">
      <x:c r="A274" s="14" t="n">
        <x:v>271</x:v>
      </x:c>
      <x:c r="B274" s="14" t="n">
        <x:v>114</x:v>
      </x:c>
      <x:c r="C274" s="14" t="str">
        <x:v>SECTEUR</x:v>
      </x:c>
      <x:c r="D274" s="14" t="str">
        <x:v>Lukuswa</x:v>
      </x:c>
      <x:c r="E274" s="14"/>
      <x:c r="F274" s="14"/>
      <x:c r="G274" s="14"/>
      <x:c r="H274" s="14"/>
      <x:c r="I274" s="14" t="n">
        <x:v>2018</x:v>
      </x:c>
      <x:c r="J274" s="14" t="str">
        <x:v>S06</x:v>
      </x:c>
      <x:c r="K274" s="14" t="str">
        <x:v>HISTORIQUE_CENI_2018_A_VALIDER</x:v>
      </x:c>
    </x:row>
    <x:row r="275">
      <x:c r="A275" s="14" t="n">
        <x:v>272</x:v>
      </x:c>
      <x:c r="B275" s="14" t="n">
        <x:v>91</x:v>
      </x:c>
      <x:c r="C275" s="14" t="str">
        <x:v>SECTEUR</x:v>
      </x:c>
      <x:c r="D275" s="14" t="str">
        <x:v>Babuyu</x:v>
      </x:c>
      <x:c r="E275" s="14"/>
      <x:c r="F275" s="14"/>
      <x:c r="G275" s="14"/>
      <x:c r="H275" s="14"/>
      <x:c r="I275" s="14" t="n">
        <x:v>2018</x:v>
      </x:c>
      <x:c r="J275" s="14" t="str">
        <x:v>S06</x:v>
      </x:c>
      <x:c r="K275" s="14" t="str">
        <x:v>HISTORIQUE_CENI_2018_A_VALIDER</x:v>
      </x:c>
    </x:row>
    <x:row r="276">
      <x:c r="A276" s="14" t="n">
        <x:v>273</x:v>
      </x:c>
      <x:c r="B276" s="14" t="n">
        <x:v>91</x:v>
      </x:c>
      <x:c r="C276" s="14" t="str">
        <x:v>SECTEUR</x:v>
      </x:c>
      <x:c r="D276" s="14" t="str">
        <x:v>Bahemba</x:v>
      </x:c>
      <x:c r="E276" s="14"/>
      <x:c r="F276" s="14"/>
      <x:c r="G276" s="14"/>
      <x:c r="H276" s="14"/>
      <x:c r="I276" s="14" t="n">
        <x:v>2018</x:v>
      </x:c>
      <x:c r="J276" s="14" t="str">
        <x:v>S06</x:v>
      </x:c>
      <x:c r="K276" s="14" t="str">
        <x:v>HISTORIQUE_CENI_2018_A_VALIDER</x:v>
      </x:c>
    </x:row>
    <x:row r="277">
      <x:c r="A277" s="14" t="n">
        <x:v>274</x:v>
      </x:c>
      <x:c r="B277" s="14" t="n">
        <x:v>91</x:v>
      </x:c>
      <x:c r="C277" s="14" t="str">
        <x:v>SECTEUR</x:v>
      </x:c>
      <x:c r="D277" s="14" t="str">
        <x:v>Bahombo</x:v>
      </x:c>
      <x:c r="E277" s="14"/>
      <x:c r="F277" s="14"/>
      <x:c r="G277" s="14"/>
      <x:c r="H277" s="14"/>
      <x:c r="I277" s="14" t="n">
        <x:v>2018</x:v>
      </x:c>
      <x:c r="J277" s="14" t="str">
        <x:v>S06</x:v>
      </x:c>
      <x:c r="K277" s="14" t="str">
        <x:v>HISTORIQUE_CENI_2018_A_VALIDER</x:v>
      </x:c>
    </x:row>
    <x:row r="278">
      <x:c r="A278" s="14" t="n">
        <x:v>275</x:v>
      </x:c>
      <x:c r="B278" s="14" t="n">
        <x:v>91</x:v>
      </x:c>
      <x:c r="C278" s="14" t="str">
        <x:v>SECTEUR</x:v>
      </x:c>
      <x:c r="D278" s="14" t="str">
        <x:v>Lulindi</x:v>
      </x:c>
      <x:c r="E278" s="14"/>
      <x:c r="F278" s="14"/>
      <x:c r="G278" s="14"/>
      <x:c r="H278" s="14"/>
      <x:c r="I278" s="14" t="n">
        <x:v>2018</x:v>
      </x:c>
      <x:c r="J278" s="14" t="str">
        <x:v>S06</x:v>
      </x:c>
      <x:c r="K278" s="14" t="str">
        <x:v>HISTORIQUE_CENI_2018_A_VALIDER</x:v>
      </x:c>
    </x:row>
    <x:row r="279">
      <x:c r="A279" s="14" t="n">
        <x:v>276</x:v>
      </x:c>
      <x:c r="B279" s="14" t="n">
        <x:v>91</x:v>
      </x:c>
      <x:c r="C279" s="14" t="str">
        <x:v>SECTEUR</x:v>
      </x:c>
      <x:c r="D279" s="14" t="str">
        <x:v>Saramabila</x:v>
      </x:c>
      <x:c r="E279" s="14"/>
      <x:c r="F279" s="14"/>
      <x:c r="G279" s="14"/>
      <x:c r="H279" s="14"/>
      <x:c r="I279" s="14" t="n">
        <x:v>2018</x:v>
      </x:c>
      <x:c r="J279" s="14" t="str">
        <x:v>S06</x:v>
      </x:c>
      <x:c r="K279" s="14" t="str">
        <x:v>HISTORIQUE_CENI_2018_A_VALIDER</x:v>
      </x:c>
    </x:row>
    <x:row r="280">
      <x:c r="A280" s="14" t="n">
        <x:v>277</x:v>
      </x:c>
      <x:c r="B280" s="14" t="n">
        <x:v>91</x:v>
      </x:c>
      <x:c r="C280" s="14" t="str">
        <x:v>SECTEUR</x:v>
      </x:c>
      <x:c r="D280" s="14" t="str">
        <x:v>Wamaza</x:v>
      </x:c>
      <x:c r="E280" s="14"/>
      <x:c r="F280" s="14"/>
      <x:c r="G280" s="14"/>
      <x:c r="H280" s="14"/>
      <x:c r="I280" s="14" t="n">
        <x:v>2018</x:v>
      </x:c>
      <x:c r="J280" s="14" t="str">
        <x:v>S06</x:v>
      </x:c>
      <x:c r="K280" s="14" t="str">
        <x:v>HISTORIQUE_CENI_2018_A_VALIDER</x:v>
      </x:c>
    </x:row>
    <x:row r="281">
      <x:c r="A281" s="14" t="n">
        <x:v>278</x:v>
      </x:c>
      <x:c r="B281" s="14" t="n">
        <x:v>85</x:v>
      </x:c>
      <x:c r="C281" s="14" t="str">
        <x:v>CHEFFERIE</x:v>
      </x:c>
      <x:c r="D281" s="14" t="str">
        <x:v>Kabare</x:v>
      </x:c>
      <x:c r="E281" s="14"/>
      <x:c r="F281" s="14"/>
      <x:c r="G281" s="14"/>
      <x:c r="H281" s="14"/>
      <x:c r="I281" s="14" t="n">
        <x:v>2018</x:v>
      </x:c>
      <x:c r="J281" s="14" t="str">
        <x:v>S06</x:v>
      </x:c>
      <x:c r="K281" s="14" t="str">
        <x:v>HISTORIQUE_CENI_2018_A_VALIDER</x:v>
      </x:c>
    </x:row>
    <x:row r="282">
      <x:c r="A282" s="14" t="n">
        <x:v>279</x:v>
      </x:c>
      <x:c r="B282" s="14" t="n">
        <x:v>85</x:v>
      </x:c>
      <x:c r="C282" s="14" t="str">
        <x:v>CHEFFERIE</x:v>
      </x:c>
      <x:c r="D282" s="14" t="str">
        <x:v>Nindja</x:v>
      </x:c>
      <x:c r="E282" s="14"/>
      <x:c r="F282" s="14"/>
      <x:c r="G282" s="14"/>
      <x:c r="H282" s="14"/>
      <x:c r="I282" s="14" t="n">
        <x:v>2018</x:v>
      </x:c>
      <x:c r="J282" s="14" t="str">
        <x:v>S06</x:v>
      </x:c>
      <x:c r="K282" s="14" t="str">
        <x:v>HISTORIQUE_CENI_2018_A_VALIDER</x:v>
      </x:c>
    </x:row>
    <x:row r="283">
      <x:c r="A283" s="14" t="n">
        <x:v>280</x:v>
      </x:c>
      <x:c r="B283" s="14" t="n">
        <x:v>125</x:v>
      </x:c>
      <x:c r="C283" s="14" t="str">
        <x:v>SECTEUR</x:v>
      </x:c>
      <x:c r="D283" s="14" t="str">
        <x:v>Kalela</x:v>
      </x:c>
      <x:c r="E283" s="14"/>
      <x:c r="F283" s="14"/>
      <x:c r="G283" s="14"/>
      <x:c r="H283" s="14"/>
      <x:c r="I283" s="14" t="n">
        <x:v>2018</x:v>
      </x:c>
      <x:c r="J283" s="14" t="str">
        <x:v>S06</x:v>
      </x:c>
      <x:c r="K283" s="14" t="str">
        <x:v>HISTORIQUE_CENI_2018_A_VALIDER</x:v>
      </x:c>
    </x:row>
    <x:row r="284">
      <x:c r="A284" s="14" t="n">
        <x:v>281</x:v>
      </x:c>
      <x:c r="B284" s="14" t="n">
        <x:v>125</x:v>
      </x:c>
      <x:c r="C284" s="14" t="str">
        <x:v>SECTEUR</x:v>
      </x:c>
      <x:c r="D284" s="14" t="str">
        <x:v>Lac Munkamba</x:v>
      </x:c>
      <x:c r="E284" s="14"/>
      <x:c r="F284" s="14"/>
      <x:c r="G284" s="14"/>
      <x:c r="H284" s="14"/>
      <x:c r="I284" s="14" t="n">
        <x:v>2018</x:v>
      </x:c>
      <x:c r="J284" s="14" t="str">
        <x:v>S06</x:v>
      </x:c>
      <x:c r="K284" s="14" t="str">
        <x:v>HISTORIQUE_CENI_2018_A_VALIDER</x:v>
      </x:c>
    </x:row>
    <x:row r="285">
      <x:c r="A285" s="14" t="n">
        <x:v>282</x:v>
      </x:c>
      <x:c r="B285" s="14" t="n">
        <x:v>125</x:v>
      </x:c>
      <x:c r="C285" s="14" t="str">
        <x:v>SECTEUR</x:v>
      </x:c>
      <x:c r="D285" s="14" t="str">
        <x:v>Mpemba</x:v>
      </x:c>
      <x:c r="E285" s="14"/>
      <x:c r="F285" s="14"/>
      <x:c r="G285" s="14"/>
      <x:c r="H285" s="14"/>
      <x:c r="I285" s="14" t="n">
        <x:v>2018</x:v>
      </x:c>
      <x:c r="J285" s="14" t="str">
        <x:v>S06</x:v>
      </x:c>
      <x:c r="K285" s="14" t="str">
        <x:v>HISTORIQUE_CENI_2018_A_VALIDER</x:v>
      </x:c>
    </x:row>
    <x:row r="286">
      <x:c r="A286" s="14" t="n">
        <x:v>283</x:v>
      </x:c>
      <x:c r="B286" s="14" t="n">
        <x:v>125</x:v>
      </x:c>
      <x:c r="C286" s="14" t="str">
        <x:v>SECTEUR</x:v>
      </x:c>
      <x:c r="D286" s="14" t="str">
        <x:v>Ndomba</x:v>
      </x:c>
      <x:c r="E286" s="14"/>
      <x:c r="F286" s="14"/>
      <x:c r="G286" s="14"/>
      <x:c r="H286" s="14"/>
      <x:c r="I286" s="14" t="n">
        <x:v>2018</x:v>
      </x:c>
      <x:c r="J286" s="14" t="str">
        <x:v>S06</x:v>
      </x:c>
      <x:c r="K286" s="14" t="str">
        <x:v>HISTORIQUE_CENI_2018_A_VALIDER</x:v>
      </x:c>
    </x:row>
    <x:row r="287">
      <x:c r="A287" s="14" t="n">
        <x:v>284</x:v>
      </x:c>
      <x:c r="B287" s="14" t="n">
        <x:v>120</x:v>
      </x:c>
      <x:c r="C287" s="14" t="str">
        <x:v>SECTEUR</x:v>
      </x:c>
      <x:c r="D287" s="14" t="str">
        <x:v>Baluba-Lubangule</x:v>
      </x:c>
      <x:c r="E287" s="14"/>
      <x:c r="F287" s="14"/>
      <x:c r="G287" s="14"/>
      <x:c r="H287" s="14"/>
      <x:c r="I287" s="14" t="n">
        <x:v>2018</x:v>
      </x:c>
      <x:c r="J287" s="14" t="str">
        <x:v>S06</x:v>
      </x:c>
      <x:c r="K287" s="14" t="str">
        <x:v>HISTORIQUE_CENI_2018_A_VALIDER</x:v>
      </x:c>
    </x:row>
    <x:row r="288">
      <x:c r="A288" s="14" t="n">
        <x:v>285</x:v>
      </x:c>
      <x:c r="B288" s="14" t="n">
        <x:v>120</x:v>
      </x:c>
      <x:c r="C288" s="14" t="str">
        <x:v>SECTEUR</x:v>
      </x:c>
      <x:c r="D288" s="14" t="str">
        <x:v>Kabinda</x:v>
      </x:c>
      <x:c r="E288" s="14"/>
      <x:c r="F288" s="14"/>
      <x:c r="G288" s="14"/>
      <x:c r="H288" s="14"/>
      <x:c r="I288" s="14" t="n">
        <x:v>2018</x:v>
      </x:c>
      <x:c r="J288" s="14" t="str">
        <x:v>S06</x:v>
      </x:c>
      <x:c r="K288" s="14" t="str">
        <x:v>HISTORIQUE_CENI_2018_A_VALIDER</x:v>
      </x:c>
    </x:row>
    <x:row r="289">
      <x:c r="A289" s="14" t="n">
        <x:v>286</x:v>
      </x:c>
      <x:c r="B289" s="14" t="n">
        <x:v>120</x:v>
      </x:c>
      <x:c r="C289" s="14" t="str">
        <x:v>SECTEUR</x:v>
      </x:c>
      <x:c r="D289" s="14" t="str">
        <x:v>Ludimbi-Lukula</x:v>
      </x:c>
      <x:c r="E289" s="14"/>
      <x:c r="F289" s="14"/>
      <x:c r="G289" s="14"/>
      <x:c r="H289" s="14"/>
      <x:c r="I289" s="14" t="n">
        <x:v>2018</x:v>
      </x:c>
      <x:c r="J289" s="14" t="str">
        <x:v>S06</x:v>
      </x:c>
      <x:c r="K289" s="14" t="str">
        <x:v>HISTORIQUE_CENI_2018_A_VALIDER</x:v>
      </x:c>
    </x:row>
    <x:row r="290">
      <x:c r="A290" s="14" t="n">
        <x:v>287</x:v>
      </x:c>
      <x:c r="B290" s="14" t="n">
        <x:v>120</x:v>
      </x:c>
      <x:c r="C290" s="14" t="str">
        <x:v>SECTEUR</x:v>
      </x:c>
      <x:c r="D290" s="14" t="str">
        <x:v>Lufubu-Lomami</x:v>
      </x:c>
      <x:c r="E290" s="14"/>
      <x:c r="F290" s="14"/>
      <x:c r="G290" s="14"/>
      <x:c r="H290" s="14"/>
      <x:c r="I290" s="14" t="n">
        <x:v>2018</x:v>
      </x:c>
      <x:c r="J290" s="14" t="str">
        <x:v>S06</x:v>
      </x:c>
      <x:c r="K290" s="14" t="str">
        <x:v>HISTORIQUE_CENI_2018_A_VALIDER</x:v>
      </x:c>
    </x:row>
    <x:row r="291">
      <x:c r="A291" s="14" t="n">
        <x:v>288</x:v>
      </x:c>
      <x:c r="B291" s="14" t="n">
        <x:v>120</x:v>
      </x:c>
      <x:c r="C291" s="14" t="str">
        <x:v>SECTEUR</x:v>
      </x:c>
      <x:c r="D291" s="14" t="str">
        <x:v>Lukashi-Lualu</x:v>
      </x:c>
      <x:c r="E291" s="14"/>
      <x:c r="F291" s="14"/>
      <x:c r="G291" s="14"/>
      <x:c r="H291" s="14"/>
      <x:c r="I291" s="14" t="n">
        <x:v>2018</x:v>
      </x:c>
      <x:c r="J291" s="14" t="str">
        <x:v>S06</x:v>
      </x:c>
      <x:c r="K291" s="14" t="str">
        <x:v>HISTORIQUE_CENI_2018_A_VALIDER</x:v>
      </x:c>
    </x:row>
    <x:row r="292">
      <x:c r="A292" s="14" t="n">
        <x:v>289</x:v>
      </x:c>
      <x:c r="B292" s="14" t="n">
        <x:v>120</x:v>
      </x:c>
      <x:c r="C292" s="14" t="str">
        <x:v>SECTEUR</x:v>
      </x:c>
      <x:c r="D292" s="14" t="str">
        <x:v>Vunayi</x:v>
      </x:c>
      <x:c r="E292" s="14"/>
      <x:c r="F292" s="14"/>
      <x:c r="G292" s="14"/>
      <x:c r="H292" s="14"/>
      <x:c r="I292" s="14" t="n">
        <x:v>2018</x:v>
      </x:c>
      <x:c r="J292" s="14" t="str">
        <x:v>S06</x:v>
      </x:c>
      <x:c r="K292" s="14" t="str">
        <x:v>HISTORIQUE_CENI_2018_A_VALIDER</x:v>
      </x:c>
    </x:row>
    <x:row r="293">
      <x:c r="A293" s="14" t="n">
        <x:v>290</x:v>
      </x:c>
      <x:c r="B293" s="14" t="n">
        <x:v>110</x:v>
      </x:c>
      <x:c r="C293" s="14" t="str">
        <x:v>SECTEUR</x:v>
      </x:c>
      <x:c r="D293" s="14" t="str">
        <x:v>Nord-Baluba</x:v>
      </x:c>
      <x:c r="E293" s="14"/>
      <x:c r="F293" s="14"/>
      <x:c r="G293" s="14"/>
      <x:c r="H293" s="14"/>
      <x:c r="I293" s="14" t="n">
        <x:v>2018</x:v>
      </x:c>
      <x:c r="J293" s="14" t="str">
        <x:v>S06</x:v>
      </x:c>
      <x:c r="K293" s="14" t="str">
        <x:v>HISTORIQUE_CENI_2018_A_VALIDER</x:v>
      </x:c>
    </x:row>
    <x:row r="294">
      <x:c r="A294" s="14" t="n">
        <x:v>291</x:v>
      </x:c>
      <x:c r="B294" s="14" t="n">
        <x:v>110</x:v>
      </x:c>
      <x:c r="C294" s="14" t="str">
        <x:v>CHEFFERIE</x:v>
      </x:c>
      <x:c r="D294" s="14" t="str">
        <x:v>Kabongo</x:v>
      </x:c>
      <x:c r="E294" s="14"/>
      <x:c r="F294" s="14"/>
      <x:c r="G294" s="14"/>
      <x:c r="H294" s="14"/>
      <x:c r="I294" s="14" t="n">
        <x:v>2018</x:v>
      </x:c>
      <x:c r="J294" s="14" t="str">
        <x:v>S06</x:v>
      </x:c>
      <x:c r="K294" s="14" t="str">
        <x:v>HISTORIQUE_CENI_2018_A_VALIDER</x:v>
      </x:c>
    </x:row>
    <x:row r="295">
      <x:c r="A295" s="14" t="n">
        <x:v>292</x:v>
      </x:c>
      <x:c r="B295" s="14" t="n">
        <x:v>110</x:v>
      </x:c>
      <x:c r="C295" s="14" t="str">
        <x:v>CHEFFERIE</x:v>
      </x:c>
      <x:c r="D295" s="14" t="str">
        <x:v>Kayamba</x:v>
      </x:c>
      <x:c r="E295" s="14"/>
      <x:c r="F295" s="14"/>
      <x:c r="G295" s="14"/>
      <x:c r="H295" s="14"/>
      <x:c r="I295" s="14" t="n">
        <x:v>2018</x:v>
      </x:c>
      <x:c r="J295" s="14" t="str">
        <x:v>S06</x:v>
      </x:c>
      <x:c r="K295" s="14" t="str">
        <x:v>HISTORIQUE_CENI_2018_A_VALIDER</x:v>
      </x:c>
    </x:row>
    <x:row r="296">
      <x:c r="A296" s="14" t="n">
        <x:v>293</x:v>
      </x:c>
      <x:c r="B296" s="14" t="n">
        <x:v>12</x:v>
      </x:c>
      <x:c r="C296" s="14" t="str">
        <x:v>SECTEUR</x:v>
      </x:c>
      <x:c r="D296" s="14" t="str">
        <x:v>Kulindji</x:v>
      </x:c>
      <x:c r="E296" s="14"/>
      <x:c r="F296" s="14"/>
      <x:c r="G296" s="14"/>
      <x:c r="H296" s="14"/>
      <x:c r="I296" s="14" t="n">
        <x:v>2018</x:v>
      </x:c>
      <x:c r="J296" s="14" t="str">
        <x:v>S06</x:v>
      </x:c>
      <x:c r="K296" s="14" t="str">
        <x:v>HISTORIQUE_CENI_2018_A_VALIDER</x:v>
      </x:c>
    </x:row>
    <x:row r="297">
      <x:c r="A297" s="14" t="n">
        <x:v>294</x:v>
      </x:c>
      <x:c r="B297" s="14" t="n">
        <x:v>12</x:v>
      </x:c>
      <x:c r="C297" s="14" t="str">
        <x:v>SECTEUR</x:v>
      </x:c>
      <x:c r="D297" s="14" t="str">
        <x:v>Bindu</x:v>
      </x:c>
      <x:c r="E297" s="14"/>
      <x:c r="F297" s="14"/>
      <x:c r="G297" s="14"/>
      <x:c r="H297" s="14"/>
      <x:c r="I297" s="14" t="n">
        <x:v>2018</x:v>
      </x:c>
      <x:c r="J297" s="14" t="str">
        <x:v>S06</x:v>
      </x:c>
      <x:c r="K297" s="14" t="str">
        <x:v>HISTORIQUE_CENI_2018_A_VALIDER</x:v>
      </x:c>
    </x:row>
    <x:row r="298">
      <x:c r="A298" s="14" t="n">
        <x:v>295</x:v>
      </x:c>
      <x:c r="B298" s="14" t="n">
        <x:v>12</x:v>
      </x:c>
      <x:c r="C298" s="14" t="str">
        <x:v>SECTEUR</x:v>
      </x:c>
      <x:c r="D298" s="14" t="str">
        <x:v>Bangu</x:v>
      </x:c>
      <x:c r="E298" s="14"/>
      <x:c r="F298" s="14"/>
      <x:c r="G298" s="14"/>
      <x:c r="H298" s="14"/>
      <x:c r="I298" s="14" t="n">
        <x:v>2018</x:v>
      </x:c>
      <x:c r="J298" s="14" t="str">
        <x:v>S06</x:v>
      </x:c>
      <x:c r="K298" s="14" t="str">
        <x:v>HISTORIQUE_CENI_2018_A_VALIDER</x:v>
      </x:c>
    </x:row>
    <x:row r="299">
      <x:c r="A299" s="14" t="n">
        <x:v>296</x:v>
      </x:c>
      <x:c r="B299" s="14" t="n">
        <x:v>12</x:v>
      </x:c>
      <x:c r="C299" s="14" t="str">
        <x:v>CHEFFERIE</x:v>
      </x:c>
      <x:c r="D299" s="14" t="str">
        <x:v>Muloshi</x:v>
      </x:c>
      <x:c r="E299" s="14"/>
      <x:c r="F299" s="14"/>
      <x:c r="G299" s="14"/>
      <x:c r="H299" s="14"/>
      <x:c r="I299" s="14" t="n">
        <x:v>2018</x:v>
      </x:c>
      <x:c r="J299" s="14" t="str">
        <x:v>S06</x:v>
      </x:c>
      <x:c r="K299" s="14" t="str">
        <x:v>HISTORIQUE_CENI_2018_A_VALIDER</x:v>
      </x:c>
    </x:row>
    <x:row r="300">
      <x:c r="A300" s="14" t="n">
        <x:v>297</x:v>
      </x:c>
      <x:c r="B300" s="14" t="n">
        <x:v>12</x:v>
      </x:c>
      <x:c r="C300" s="14" t="str">
        <x:v>CHEFFERIE</x:v>
      </x:c>
      <x:c r="D300" s="14" t="str">
        <x:v>Mwa-Mushiko</x:v>
      </x:c>
      <x:c r="E300" s="14"/>
      <x:c r="F300" s="14"/>
      <x:c r="G300" s="14"/>
      <x:c r="H300" s="14"/>
      <x:c r="I300" s="14" t="n">
        <x:v>2018</x:v>
      </x:c>
      <x:c r="J300" s="14" t="str">
        <x:v>S06</x:v>
      </x:c>
      <x:c r="K300" s="14" t="str">
        <x:v>HISTORIQUE_CENI_2018_A_VALIDER</x:v>
      </x:c>
    </x:row>
    <x:row r="301">
      <x:c r="A301" s="14" t="n">
        <x:v>298</x:v>
      </x:c>
      <x:c r="B301" s="14" t="n">
        <x:v>12</x:v>
      </x:c>
      <x:c r="C301" s="14" t="str">
        <x:v>CHEFFERIE</x:v>
      </x:c>
      <x:c r="D301" s="14" t="str">
        <x:v>Mwendjila</x:v>
      </x:c>
      <x:c r="E301" s="14"/>
      <x:c r="F301" s="14"/>
      <x:c r="G301" s="14"/>
      <x:c r="H301" s="14"/>
      <x:c r="I301" s="14" t="n">
        <x:v>2018</x:v>
      </x:c>
      <x:c r="J301" s="14" t="str">
        <x:v>S06</x:v>
      </x:c>
      <x:c r="K301" s="14" t="str">
        <x:v>HISTORIQUE_CENI_2018_A_VALIDER</x:v>
      </x:c>
    </x:row>
    <x:row r="302">
      <x:c r="A302" s="14" t="n">
        <x:v>299</x:v>
      </x:c>
      <x:c r="B302" s="14" t="n">
        <x:v>86</x:v>
      </x:c>
      <x:c r="C302" s="14" t="str">
        <x:v>CHEFFERIE</x:v>
      </x:c>
      <x:c r="D302" s="14" t="str">
        <x:v>Buhavu</x:v>
      </x:c>
      <x:c r="E302" s="14"/>
      <x:c r="F302" s="14"/>
      <x:c r="G302" s="14"/>
      <x:c r="H302" s="14"/>
      <x:c r="I302" s="14" t="n">
        <x:v>2018</x:v>
      </x:c>
      <x:c r="J302" s="14" t="str">
        <x:v>S06</x:v>
      </x:c>
      <x:c r="K302" s="14" t="str">
        <x:v>HISTORIQUE_CENI_2018_A_VALIDER</x:v>
      </x:c>
    </x:row>
    <x:row r="303">
      <x:c r="A303" s="14" t="n">
        <x:v>300</x:v>
      </x:c>
      <x:c r="B303" s="14" t="n">
        <x:v>86</x:v>
      </x:c>
      <x:c r="C303" s="14" t="str">
        <x:v>CHEFFERIE</x:v>
      </x:c>
      <x:c r="D303" s="14" t="str">
        <x:v>Buloho</x:v>
      </x:c>
      <x:c r="E303" s="14"/>
      <x:c r="F303" s="14"/>
      <x:c r="G303" s="14"/>
      <x:c r="H303" s="14"/>
      <x:c r="I303" s="14" t="n">
        <x:v>2018</x:v>
      </x:c>
      <x:c r="J303" s="14" t="str">
        <x:v>S06</x:v>
      </x:c>
      <x:c r="K303" s="14" t="str">
        <x:v>HISTORIQUE_CENI_2018_A_VALIDER</x:v>
      </x:c>
    </x:row>
    <x:row r="304">
      <x:c r="A304" s="14" t="n">
        <x:v>301</x:v>
      </x:c>
      <x:c r="B304" s="14" t="n">
        <x:v>115</x:v>
      </x:c>
      <x:c r="C304" s="14" t="str">
        <x:v>CHEFFERIE</x:v>
      </x:c>
      <x:c r="D304" s="14" t="str">
        <x:v>Benze</x:v>
      </x:c>
      <x:c r="E304" s="14"/>
      <x:c r="F304" s="14"/>
      <x:c r="G304" s="14"/>
      <x:c r="H304" s="14"/>
      <x:c r="I304" s="14" t="n">
        <x:v>2018</x:v>
      </x:c>
      <x:c r="J304" s="14" t="str">
        <x:v>S06</x:v>
      </x:c>
      <x:c r="K304" s="14" t="str">
        <x:v>HISTORIQUE_CENI_2018_A_VALIDER</x:v>
      </x:c>
    </x:row>
    <x:row r="305">
      <x:c r="A305" s="14" t="n">
        <x:v>302</x:v>
      </x:c>
      <x:c r="B305" s="14" t="n">
        <x:v>115</x:v>
      </x:c>
      <x:c r="C305" s="14" t="str">
        <x:v>CHEFFERIE</x:v>
      </x:c>
      <x:c r="D305" s="14" t="str">
        <x:v>Rutuku</x:v>
      </x:c>
      <x:c r="E305" s="14"/>
      <x:c r="F305" s="14"/>
      <x:c r="G305" s="14"/>
      <x:c r="H305" s="14"/>
      <x:c r="I305" s="14" t="n">
        <x:v>2018</x:v>
      </x:c>
      <x:c r="J305" s="14" t="str">
        <x:v>S06</x:v>
      </x:c>
      <x:c r="K305" s="14" t="str">
        <x:v>HISTORIQUE_CENI_2018_A_VALIDER</x:v>
      </x:c>
    </x:row>
    <x:row r="306">
      <x:c r="A306" s="14" t="n">
        <x:v>303</x:v>
      </x:c>
      <x:c r="B306" s="14" t="n">
        <x:v>115</x:v>
      </x:c>
      <x:c r="C306" s="14" t="str">
        <x:v>CHEFFERIE</x:v>
      </x:c>
      <x:c r="D306" s="14" t="str">
        <x:v>Tumbwe</x:v>
      </x:c>
      <x:c r="E306" s="14"/>
      <x:c r="F306" s="14"/>
      <x:c r="G306" s="14"/>
      <x:c r="H306" s="14"/>
      <x:c r="I306" s="14" t="n">
        <x:v>2018</x:v>
      </x:c>
      <x:c r="J306" s="14" t="str">
        <x:v>S06</x:v>
      </x:c>
      <x:c r="K306" s="14" t="str">
        <x:v>HISTORIQUE_CENI_2018_A_VALIDER</x:v>
      </x:c>
    </x:row>
    <x:row r="307">
      <x:c r="A307" s="14" t="n">
        <x:v>304</x:v>
      </x:c>
      <x:c r="B307" s="14" t="n">
        <x:v>98</x:v>
      </x:c>
      <x:c r="C307" s="14" t="str">
        <x:v>CHEFFERIE</x:v>
      </x:c>
      <x:c r="D307" s="14" t="str">
        <x:v>Basanga</x:v>
      </x:c>
      <x:c r="E307" s="14"/>
      <x:c r="F307" s="14"/>
      <x:c r="G307" s="14"/>
      <x:c r="H307" s="14"/>
      <x:c r="I307" s="14" t="n">
        <x:v>2018</x:v>
      </x:c>
      <x:c r="J307" s="14" t="str">
        <x:v>S06</x:v>
      </x:c>
      <x:c r="K307" s="14" t="str">
        <x:v>HISTORIQUE_CENI_2018_A_VALIDER</x:v>
      </x:c>
    </x:row>
    <x:row r="308">
      <x:c r="A308" s="14" t="n">
        <x:v>305</x:v>
      </x:c>
      <x:c r="B308" s="14" t="n">
        <x:v>98</x:v>
      </x:c>
      <x:c r="C308" s="14" t="str">
        <x:v>SECTEUR</x:v>
      </x:c>
      <x:c r="D308" s="14" t="str">
        <x:v>Lufira</x:v>
      </x:c>
      <x:c r="E308" s="14"/>
      <x:c r="F308" s="14"/>
      <x:c r="G308" s="14"/>
      <x:c r="H308" s="14"/>
      <x:c r="I308" s="14" t="n">
        <x:v>2018</x:v>
      </x:c>
      <x:c r="J308" s="14" t="str">
        <x:v>S06</x:v>
      </x:c>
      <x:c r="K308" s="14" t="str">
        <x:v>HISTORIQUE_CENI_2018_A_VALIDER</x:v>
      </x:c>
    </x:row>
    <x:row r="309">
      <x:c r="A309" s="14" t="n">
        <x:v>306</x:v>
      </x:c>
      <x:c r="B309" s="14" t="n">
        <x:v>98</x:v>
      </x:c>
      <x:c r="C309" s="14" t="str">
        <x:v>SECTEUR</x:v>
      </x:c>
      <x:c r="D309" s="14" t="str">
        <x:v>Sources du fleuve Congo</x:v>
      </x:c>
      <x:c r="E309" s="14"/>
      <x:c r="F309" s="14"/>
      <x:c r="G309" s="14"/>
      <x:c r="H309" s="14"/>
      <x:c r="I309" s="14" t="n">
        <x:v>2018</x:v>
      </x:c>
      <x:c r="J309" s="14" t="str">
        <x:v>S06</x:v>
      </x:c>
      <x:c r="K309" s="14" t="str">
        <x:v>HISTORIQUE_CENI_2018_A_VALIDER</x:v>
      </x:c>
    </x:row>
    <x:row r="310">
      <x:c r="A310" s="14" t="n">
        <x:v>307</x:v>
      </x:c>
      <x:c r="B310" s="14" t="n">
        <x:v>121</x:v>
      </x:c>
      <x:c r="C310" s="14" t="str">
        <x:v>SECTEUR</x:v>
      </x:c>
      <x:c r="D310" s="14" t="str">
        <x:v>Kamiji</x:v>
      </x:c>
      <x:c r="E310" s="14"/>
      <x:c r="F310" s="14"/>
      <x:c r="G310" s="14"/>
      <x:c r="H310" s="14"/>
      <x:c r="I310" s="14" t="n">
        <x:v>2018</x:v>
      </x:c>
      <x:c r="J310" s="14" t="str">
        <x:v>S06</x:v>
      </x:c>
      <x:c r="K310" s="14" t="str">
        <x:v>HISTORIQUE_CENI_2018_A_VALIDER</x:v>
      </x:c>
    </x:row>
    <x:row r="311">
      <x:c r="A311" s="14" t="n">
        <x:v>308</x:v>
      </x:c>
      <x:c r="B311" s="14" t="n">
        <x:v>121</x:v>
      </x:c>
      <x:c r="C311" s="14" t="str">
        <x:v>SECTEUR</x:v>
      </x:c>
      <x:c r="D311" s="14" t="str">
        <x:v>Luekeshi</x:v>
      </x:c>
      <x:c r="E311" s="14"/>
      <x:c r="F311" s="14"/>
      <x:c r="G311" s="14"/>
      <x:c r="H311" s="14"/>
      <x:c r="I311" s="14" t="n">
        <x:v>2018</x:v>
      </x:c>
      <x:c r="J311" s="14" t="str">
        <x:v>S06</x:v>
      </x:c>
      <x:c r="K311" s="14" t="str">
        <x:v>HISTORIQUE_CENI_2018_A_VALIDER</x:v>
      </x:c>
    </x:row>
    <x:row r="312">
      <x:c r="A312" s="14" t="n">
        <x:v>309</x:v>
      </x:c>
      <x:c r="B312" s="14" t="n">
        <x:v>111</x:v>
      </x:c>
      <x:c r="C312" s="14" t="str">
        <x:v>CHEFFERIE</x:v>
      </x:c>
      <x:c r="D312" s="14" t="str">
        <x:v>Kasongo Nyembo</x:v>
      </x:c>
      <x:c r="E312" s="14"/>
      <x:c r="F312" s="14"/>
      <x:c r="G312" s="14"/>
      <x:c r="H312" s="14"/>
      <x:c r="I312" s="14" t="n">
        <x:v>2018</x:v>
      </x:c>
      <x:c r="J312" s="14" t="str">
        <x:v>S06</x:v>
      </x:c>
      <x:c r="K312" s="14" t="str">
        <x:v>HISTORIQUE_CENI_2018_A_VALIDER</x:v>
      </x:c>
    </x:row>
    <x:row r="313">
      <x:c r="A313" s="14" t="n">
        <x:v>310</x:v>
      </x:c>
      <x:c r="B313" s="14" t="n">
        <x:v>111</x:v>
      </x:c>
      <x:c r="C313" s="14" t="str">
        <x:v>SECTEUR</x:v>
      </x:c>
      <x:c r="D313" s="14" t="str">
        <x:v>Kinda</x:v>
      </x:c>
      <x:c r="E313" s="14"/>
      <x:c r="F313" s="14"/>
      <x:c r="G313" s="14"/>
      <x:c r="H313" s="14"/>
      <x:c r="I313" s="14" t="n">
        <x:v>2018</x:v>
      </x:c>
      <x:c r="J313" s="14" t="str">
        <x:v>S06</x:v>
      </x:c>
      <x:c r="K313" s="14" t="str">
        <x:v>HISTORIQUE_CENI_2018_A_VALIDER</x:v>
      </x:c>
    </x:row>
    <x:row r="314">
      <x:c r="A314" s="14" t="n">
        <x:v>311</x:v>
      </x:c>
      <x:c r="B314" s="14" t="n">
        <x:v>112</x:v>
      </x:c>
      <x:c r="C314" s="14" t="str">
        <x:v>CHEFFERIE</x:v>
      </x:c>
      <x:c r="D314" s="14" t="str">
        <x:v>Mutombo-Mukulu</x:v>
      </x:c>
      <x:c r="E314" s="14"/>
      <x:c r="F314" s="14"/>
      <x:c r="G314" s="14"/>
      <x:c r="H314" s="14"/>
      <x:c r="I314" s="14" t="n">
        <x:v>2018</x:v>
      </x:c>
      <x:c r="J314" s="14" t="str">
        <x:v>S06</x:v>
      </x:c>
      <x:c r="K314" s="14" t="str">
        <x:v>HISTORIQUE_CENI_2018_A_VALIDER</x:v>
      </x:c>
    </x:row>
    <x:row r="315">
      <x:c r="A315" s="14" t="n">
        <x:v>312</x:v>
      </x:c>
      <x:c r="B315" s="14" t="n">
        <x:v>105</x:v>
      </x:c>
      <x:c r="C315" s="14" t="str">
        <x:v>CHEFFERIE</x:v>
      </x:c>
      <x:c r="D315" s="14" t="str">
        <x:v>Mwant-Yav</x:v>
      </x:c>
      <x:c r="E315" s="14"/>
      <x:c r="F315" s="14"/>
      <x:c r="G315" s="14"/>
      <x:c r="H315" s="14"/>
      <x:c r="I315" s="14" t="n">
        <x:v>2018</x:v>
      </x:c>
      <x:c r="J315" s="14" t="str">
        <x:v>S06</x:v>
      </x:c>
      <x:c r="K315" s="14" t="str">
        <x:v>HISTORIQUE_CENI_2018_A_VALIDER</x:v>
      </x:c>
    </x:row>
    <x:row r="316">
      <x:c r="A316" s="14" t="n">
        <x:v>313</x:v>
      </x:c>
      <x:c r="B316" s="14" t="n">
        <x:v>1</x:v>
      </x:c>
      <x:c r="C316" s="14" t="str">
        <x:v>SECTEUR</x:v>
      </x:c>
      <x:c r="D316" s="14" t="str">
        <x:v>Kasangulu</x:v>
      </x:c>
      <x:c r="E316" s="14"/>
      <x:c r="F316" s="14"/>
      <x:c r="G316" s="14"/>
      <x:c r="H316" s="14"/>
      <x:c r="I316" s="14" t="n">
        <x:v>2018</x:v>
      </x:c>
      <x:c r="J316" s="14" t="str">
        <x:v>S06</x:v>
      </x:c>
      <x:c r="K316" s="14" t="str">
        <x:v>HISTORIQUE_CENI_2018_A_VALIDER</x:v>
      </x:c>
    </x:row>
    <x:row r="317">
      <x:c r="A317" s="14" t="n">
        <x:v>314</x:v>
      </x:c>
      <x:c r="B317" s="14" t="n">
        <x:v>1</x:v>
      </x:c>
      <x:c r="C317" s="14" t="str">
        <x:v>SECTEUR</x:v>
      </x:c>
      <x:c r="D317" s="14" t="str">
        <x:v>Luila</x:v>
      </x:c>
      <x:c r="E317" s="14"/>
      <x:c r="F317" s="14"/>
      <x:c r="G317" s="14"/>
      <x:c r="H317" s="14"/>
      <x:c r="I317" s="14" t="n">
        <x:v>2018</x:v>
      </x:c>
      <x:c r="J317" s="14" t="str">
        <x:v>S06</x:v>
      </x:c>
      <x:c r="K317" s="14" t="str">
        <x:v>HISTORIQUE_CENI_2018_A_VALIDER</x:v>
      </x:c>
    </x:row>
    <x:row r="318">
      <x:c r="A318" s="14" t="n">
        <x:v>315</x:v>
      </x:c>
      <x:c r="B318" s="14" t="n">
        <x:v>1</x:v>
      </x:c>
      <x:c r="C318" s="14" t="str">
        <x:v>SECTEUR</x:v>
      </x:c>
      <x:c r="D318" s="14" t="str">
        <x:v>Lukunga-Mputu</x:v>
      </x:c>
      <x:c r="E318" s="14"/>
      <x:c r="F318" s="14"/>
      <x:c r="G318" s="14"/>
      <x:c r="H318" s="14"/>
      <x:c r="I318" s="14" t="n">
        <x:v>2018</x:v>
      </x:c>
      <x:c r="J318" s="14" t="str">
        <x:v>S06</x:v>
      </x:c>
      <x:c r="K318" s="14" t="str">
        <x:v>HISTORIQUE_CENI_2018_A_VALIDER</x:v>
      </x:c>
    </x:row>
    <x:row r="319">
      <x:c r="A319" s="14" t="n">
        <x:v>316</x:v>
      </x:c>
      <x:c r="B319" s="14" t="n">
        <x:v>99</x:v>
      </x:c>
      <x:c r="C319" s="14" t="str">
        <x:v>SECTEUR</x:v>
      </x:c>
      <x:c r="D319" s="14" t="str">
        <x:v>Bakunda</x:v>
      </x:c>
      <x:c r="E319" s="14"/>
      <x:c r="F319" s="14"/>
      <x:c r="G319" s="14"/>
      <x:c r="H319" s="14"/>
      <x:c r="I319" s="14" t="n">
        <x:v>2018</x:v>
      </x:c>
      <x:c r="J319" s="14" t="str">
        <x:v>S06</x:v>
      </x:c>
      <x:c r="K319" s="14" t="str">
        <x:v>HISTORIQUE_CENI_2018_A_VALIDER</x:v>
      </x:c>
    </x:row>
    <x:row r="320">
      <x:c r="A320" s="14" t="n">
        <x:v>317</x:v>
      </x:c>
      <x:c r="B320" s="14" t="n">
        <x:v>99</x:v>
      </x:c>
      <x:c r="C320" s="14" t="str">
        <x:v>SECTEUR</x:v>
      </x:c>
      <x:c r="D320" s="14" t="str">
        <x:v>Kafira</x:v>
      </x:c>
      <x:c r="E320" s="14"/>
      <x:c r="F320" s="14"/>
      <x:c r="G320" s="14"/>
      <x:c r="H320" s="14"/>
      <x:c r="I320" s="14" t="n">
        <x:v>2018</x:v>
      </x:c>
      <x:c r="J320" s="14" t="str">
        <x:v>S06</x:v>
      </x:c>
      <x:c r="K320" s="14" t="str">
        <x:v>HISTORIQUE_CENI_2018_A_VALIDER</x:v>
      </x:c>
    </x:row>
    <x:row r="321">
      <x:c r="A321" s="14" t="n">
        <x:v>318</x:v>
      </x:c>
      <x:c r="B321" s="14" t="n">
        <x:v>99</x:v>
      </x:c>
      <x:c r="C321" s="14" t="str">
        <x:v>SECTEUR</x:v>
      </x:c>
      <x:c r="D321" s="14" t="str">
        <x:v>Kisamamba</x:v>
      </x:c>
      <x:c r="E321" s="14"/>
      <x:c r="F321" s="14"/>
      <x:c r="G321" s="14"/>
      <x:c r="H321" s="14"/>
      <x:c r="I321" s="14" t="n">
        <x:v>2018</x:v>
      </x:c>
      <x:c r="J321" s="14" t="str">
        <x:v>S06</x:v>
      </x:c>
      <x:c r="K321" s="14" t="str">
        <x:v>HISTORIQUE_CENI_2018_A_VALIDER</x:v>
      </x:c>
    </x:row>
    <x:row r="322">
      <x:c r="A322" s="14" t="n">
        <x:v>319</x:v>
      </x:c>
      <x:c r="B322" s="14" t="n">
        <x:v>99</x:v>
      </x:c>
      <x:c r="C322" s="14" t="str">
        <x:v>SECTEUR</x:v>
      </x:c>
      <x:c r="D322" s="14" t="str">
        <x:v>Luapula</x:v>
      </x:c>
      <x:c r="E322" s="14"/>
      <x:c r="F322" s="14"/>
      <x:c r="G322" s="14"/>
      <x:c r="H322" s="14"/>
      <x:c r="I322" s="14" t="n">
        <x:v>2018</x:v>
      </x:c>
      <x:c r="J322" s="14" t="str">
        <x:v>S06</x:v>
      </x:c>
      <x:c r="K322" s="14" t="str">
        <x:v>HISTORIQUE_CENI_2018_A_VALIDER</x:v>
      </x:c>
    </x:row>
    <x:row r="323">
      <x:c r="A323" s="14" t="n">
        <x:v>320</x:v>
      </x:c>
      <x:c r="B323" s="14" t="n">
        <x:v>93</x:v>
      </x:c>
      <x:c r="C323" s="14" t="str">
        <x:v>CHEFFERIE</x:v>
      </x:c>
      <x:c r="D323" s="14" t="str">
        <x:v>Bakwange</x:v>
      </x:c>
      <x:c r="E323" s="14"/>
      <x:c r="F323" s="14"/>
      <x:c r="G323" s="14"/>
      <x:c r="H323" s="14"/>
      <x:c r="I323" s="14" t="n">
        <x:v>2018</x:v>
      </x:c>
      <x:c r="J323" s="14" t="str">
        <x:v>S06</x:v>
      </x:c>
      <x:c r="K323" s="14" t="str">
        <x:v>HISTORIQUE_CENI_2018_A_VALIDER</x:v>
      </x:c>
    </x:row>
    <x:row r="324">
      <x:c r="A324" s="14" t="n">
        <x:v>321</x:v>
      </x:c>
      <x:c r="B324" s="14" t="n">
        <x:v>93</x:v>
      </x:c>
      <x:c r="C324" s="14" t="str">
        <x:v>CHEFFERIE</x:v>
      </x:c>
      <x:c r="D324" s="14" t="str">
        <x:v>Basonge 1</x:v>
      </x:c>
      <x:c r="E324" s="14"/>
      <x:c r="F324" s="14"/>
      <x:c r="G324" s="14"/>
      <x:c r="H324" s="14"/>
      <x:c r="I324" s="14" t="n">
        <x:v>2018</x:v>
      </x:c>
      <x:c r="J324" s="14" t="str">
        <x:v>S06</x:v>
      </x:c>
      <x:c r="K324" s="14" t="str">
        <x:v>HISTORIQUE_CENI_2018_A_VALIDER</x:v>
      </x:c>
    </x:row>
    <x:row r="325">
      <x:c r="A325" s="14" t="n">
        <x:v>322</x:v>
      </x:c>
      <x:c r="B325" s="14" t="n">
        <x:v>93</x:v>
      </x:c>
      <x:c r="C325" s="14" t="str">
        <x:v>SECTEUR</x:v>
      </x:c>
      <x:c r="D325" s="14" t="str">
        <x:v>Basonge 2 Mweho</x:v>
      </x:c>
      <x:c r="E325" s="14"/>
      <x:c r="F325" s="14"/>
      <x:c r="G325" s="14"/>
      <x:c r="H325" s="14"/>
      <x:c r="I325" s="14" t="n">
        <x:v>2018</x:v>
      </x:c>
      <x:c r="J325" s="14" t="str">
        <x:v>S06</x:v>
      </x:c>
      <x:c r="K325" s="14" t="str">
        <x:v>HISTORIQUE_CENI_2018_A_VALIDER</x:v>
      </x:c>
    </x:row>
    <x:row r="326">
      <x:c r="A326" s="14" t="n">
        <x:v>323</x:v>
      </x:c>
      <x:c r="B326" s="14" t="n">
        <x:v>93</x:v>
      </x:c>
      <x:c r="C326" s="14" t="str">
        <x:v>CHEFFERIE</x:v>
      </x:c>
      <x:c r="D326" s="14" t="str">
        <x:v>Benia Samba</x:v>
      </x:c>
      <x:c r="E326" s="14"/>
      <x:c r="F326" s="14"/>
      <x:c r="G326" s="14"/>
      <x:c r="H326" s="14"/>
      <x:c r="I326" s="14" t="n">
        <x:v>2018</x:v>
      </x:c>
      <x:c r="J326" s="14" t="str">
        <x:v>S06</x:v>
      </x:c>
      <x:c r="K326" s="14" t="str">
        <x:v>HISTORIQUE_CENI_2018_A_VALIDER</x:v>
      </x:c>
    </x:row>
    <x:row r="327">
      <x:c r="A327" s="14" t="n">
        <x:v>324</x:v>
      </x:c>
      <x:c r="B327" s="14" t="n">
        <x:v>93</x:v>
      </x:c>
      <x:c r="C327" s="14" t="str">
        <x:v>SECTEUR</x:v>
      </x:c>
      <x:c r="D327" s="14" t="str">
        <x:v>Mamba-Kasenga</x:v>
      </x:c>
      <x:c r="E327" s="14"/>
      <x:c r="F327" s="14"/>
      <x:c r="G327" s="14"/>
      <x:c r="H327" s="14"/>
      <x:c r="I327" s="14" t="n">
        <x:v>2018</x:v>
      </x:c>
      <x:c r="J327" s="14" t="str">
        <x:v>S06</x:v>
      </x:c>
      <x:c r="K327" s="14" t="str">
        <x:v>HISTORIQUE_CENI_2018_A_VALIDER</x:v>
      </x:c>
    </x:row>
    <x:row r="328">
      <x:c r="A328" s="14" t="n">
        <x:v>325</x:v>
      </x:c>
      <x:c r="B328" s="14" t="n">
        <x:v>93</x:v>
      </x:c>
      <x:c r="C328" s="14" t="str">
        <x:v>CHEFFERIE</x:v>
      </x:c>
      <x:c r="D328" s="14" t="str">
        <x:v>Nonda</x:v>
      </x:c>
      <x:c r="E328" s="14"/>
      <x:c r="F328" s="14"/>
      <x:c r="G328" s="14"/>
      <x:c r="H328" s="14"/>
      <x:c r="I328" s="14" t="n">
        <x:v>2018</x:v>
      </x:c>
      <x:c r="J328" s="14" t="str">
        <x:v>S06</x:v>
      </x:c>
      <x:c r="K328" s="14" t="str">
        <x:v>HISTORIQUE_CENI_2018_A_VALIDER</x:v>
      </x:c>
    </x:row>
    <x:row r="329">
      <x:c r="A329" s="14" t="n">
        <x:v>326</x:v>
      </x:c>
      <x:c r="B329" s="14" t="n">
        <x:v>93</x:v>
      </x:c>
      <x:c r="C329" s="14" t="str">
        <x:v>CHEFFERIE</x:v>
      </x:c>
      <x:c r="D329" s="14" t="str">
        <x:v>Wagenia</x:v>
      </x:c>
      <x:c r="E329" s="14"/>
      <x:c r="F329" s="14"/>
      <x:c r="G329" s="14"/>
      <x:c r="H329" s="14"/>
      <x:c r="I329" s="14" t="n">
        <x:v>2018</x:v>
      </x:c>
      <x:c r="J329" s="14" t="str">
        <x:v>S06</x:v>
      </x:c>
      <x:c r="K329" s="14" t="str">
        <x:v>HISTORIQUE_CENI_2018_A_VALIDER</x:v>
      </x:c>
    </x:row>
    <x:row r="330">
      <x:c r="A330" s="14" t="n">
        <x:v>327</x:v>
      </x:c>
      <x:c r="B330" s="14" t="n">
        <x:v>93</x:v>
      </x:c>
      <x:c r="C330" s="14" t="str">
        <x:v>SECTEUR</x:v>
      </x:c>
      <x:c r="D330" s="14" t="str">
        <x:v>Wazimba-Maringa</x:v>
      </x:c>
      <x:c r="E330" s="14"/>
      <x:c r="F330" s="14"/>
      <x:c r="G330" s="14"/>
      <x:c r="H330" s="14"/>
      <x:c r="I330" s="14" t="n">
        <x:v>2018</x:v>
      </x:c>
      <x:c r="J330" s="14" t="str">
        <x:v>S06</x:v>
      </x:c>
      <x:c r="K330" s="14" t="str">
        <x:v>HISTORIQUE_CENI_2018_A_VALIDER</x:v>
      </x:c>
    </x:row>
    <x:row r="331">
      <x:c r="A331" s="14" t="n">
        <x:v>328</x:v>
      </x:c>
      <x:c r="B331" s="14" t="n">
        <x:v>93</x:v>
      </x:c>
      <x:c r="C331" s="14" t="str">
        <x:v>SECTEUR</x:v>
      </x:c>
      <x:c r="D331" s="14" t="str">
        <x:v>Wazimba wa Mulu</x:v>
      </x:c>
      <x:c r="E331" s="14"/>
      <x:c r="F331" s="14"/>
      <x:c r="G331" s="14"/>
      <x:c r="H331" s="14"/>
      <x:c r="I331" s="14" t="n">
        <x:v>2018</x:v>
      </x:c>
      <x:c r="J331" s="14" t="str">
        <x:v>S06</x:v>
      </x:c>
      <x:c r="K331" s="14" t="str">
        <x:v>HISTORIQUE_CENI_2018_A_VALIDER</x:v>
      </x:c>
    </x:row>
    <x:row r="332">
      <x:c r="A332" s="14" t="n">
        <x:v>329</x:v>
      </x:c>
      <x:c r="B332" s="14" t="n">
        <x:v>93</x:v>
      </x:c>
      <x:c r="C332" s="14" t="str">
        <x:v>CHEFFERIE</x:v>
      </x:c>
      <x:c r="D332" s="14" t="str">
        <x:v>Wazula</x:v>
      </x:c>
      <x:c r="E332" s="14"/>
      <x:c r="F332" s="14"/>
      <x:c r="G332" s="14"/>
      <x:c r="H332" s="14"/>
      <x:c r="I332" s="14" t="n">
        <x:v>2018</x:v>
      </x:c>
      <x:c r="J332" s="14" t="str">
        <x:v>S06</x:v>
      </x:c>
      <x:c r="K332" s="14" t="str">
        <x:v>HISTORIQUE_CENI_2018_A_VALIDER</x:v>
      </x:c>
    </x:row>
    <x:row r="333">
      <x:c r="A333" s="14" t="n">
        <x:v>330</x:v>
      </x:c>
      <x:c r="B333" s="14" t="n">
        <x:v>13</x:v>
      </x:c>
      <x:c r="C333" s="14" t="str">
        <x:v>CHEFFERIE</x:v>
      </x:c>
      <x:c r="D333" s="14" t="str">
        <x:v>Kasa</x:v>
      </x:c>
      <x:c r="E333" s="14"/>
      <x:c r="F333" s="14"/>
      <x:c r="G333" s="14"/>
      <x:c r="H333" s="14"/>
      <x:c r="I333" s="14" t="n">
        <x:v>2018</x:v>
      </x:c>
      <x:c r="J333" s="14" t="str">
        <x:v>S06</x:v>
      </x:c>
      <x:c r="K333" s="14" t="str">
        <x:v>HISTORIQUE_CENI_2018_A_VALIDER</x:v>
      </x:c>
    </x:row>
    <x:row r="334">
      <x:c r="A334" s="14" t="n">
        <x:v>331</x:v>
      </x:c>
      <x:c r="B334" s="14" t="n">
        <x:v>13</x:v>
      </x:c>
      <x:c r="C334" s="14" t="str">
        <x:v>CHEFFERIE</x:v>
      </x:c>
      <x:c r="D334" s="14" t="str">
        <x:v>Kasongo-Lunda</x:v>
      </x:c>
      <x:c r="E334" s="14"/>
      <x:c r="F334" s="14"/>
      <x:c r="G334" s="14"/>
      <x:c r="H334" s="14"/>
      <x:c r="I334" s="14" t="n">
        <x:v>2018</x:v>
      </x:c>
      <x:c r="J334" s="14" t="str">
        <x:v>S06</x:v>
      </x:c>
      <x:c r="K334" s="14" t="str">
        <x:v>HISTORIQUE_CENI_2018_A_VALIDER</x:v>
      </x:c>
    </x:row>
    <x:row r="335">
      <x:c r="A335" s="14" t="n">
        <x:v>332</x:v>
      </x:c>
      <x:c r="B335" s="14" t="n">
        <x:v>13</x:v>
      </x:c>
      <x:c r="C335" s="14" t="str">
        <x:v>SECTEUR</x:v>
      </x:c>
      <x:c r="D335" s="14" t="str">
        <x:v>Kibunda</x:v>
      </x:c>
      <x:c r="E335" s="14"/>
      <x:c r="F335" s="14"/>
      <x:c r="G335" s="14"/>
      <x:c r="H335" s="14"/>
      <x:c r="I335" s="14" t="n">
        <x:v>2018</x:v>
      </x:c>
      <x:c r="J335" s="14" t="str">
        <x:v>S06</x:v>
      </x:c>
      <x:c r="K335" s="14" t="str">
        <x:v>HISTORIQUE_CENI_2018_A_VALIDER</x:v>
      </x:c>
    </x:row>
    <x:row r="336">
      <x:c r="A336" s="14" t="n">
        <x:v>333</x:v>
      </x:c>
      <x:c r="B336" s="14" t="n">
        <x:v>13</x:v>
      </x:c>
      <x:c r="C336" s="14" t="str">
        <x:v>SECTEUR</x:v>
      </x:c>
      <x:c r="D336" s="14" t="str">
        <x:v>Kingulu</x:v>
      </x:c>
      <x:c r="E336" s="14"/>
      <x:c r="F336" s="14"/>
      <x:c r="G336" s="14"/>
      <x:c r="H336" s="14"/>
      <x:c r="I336" s="14" t="n">
        <x:v>2018</x:v>
      </x:c>
      <x:c r="J336" s="14" t="str">
        <x:v>S06</x:v>
      </x:c>
      <x:c r="K336" s="14" t="str">
        <x:v>HISTORIQUE_CENI_2018_A_VALIDER</x:v>
      </x:c>
    </x:row>
    <x:row r="337">
      <x:c r="A337" s="14" t="n">
        <x:v>334</x:v>
      </x:c>
      <x:c r="B337" s="14" t="n">
        <x:v>13</x:v>
      </x:c>
      <x:c r="C337" s="14" t="str">
        <x:v>SECTEUR</x:v>
      </x:c>
      <x:c r="D337" s="14" t="str">
        <x:v>Kizamba</x:v>
      </x:c>
      <x:c r="E337" s="14"/>
      <x:c r="F337" s="14"/>
      <x:c r="G337" s="14"/>
      <x:c r="H337" s="14"/>
      <x:c r="I337" s="14" t="n">
        <x:v>2018</x:v>
      </x:c>
      <x:c r="J337" s="14" t="str">
        <x:v>S06</x:v>
      </x:c>
      <x:c r="K337" s="14" t="str">
        <x:v>HISTORIQUE_CENI_2018_A_VALIDER</x:v>
      </x:c>
    </x:row>
    <x:row r="338">
      <x:c r="A338" s="14" t="n">
        <x:v>335</x:v>
      </x:c>
      <x:c r="B338" s="14" t="n">
        <x:v>13</x:v>
      </x:c>
      <x:c r="C338" s="14" t="str">
        <x:v>SECTEUR</x:v>
      </x:c>
      <x:c r="D338" s="14" t="str">
        <x:v>Mawanga</x:v>
      </x:c>
      <x:c r="E338" s="14"/>
      <x:c r="F338" s="14"/>
      <x:c r="G338" s="14"/>
      <x:c r="H338" s="14"/>
      <x:c r="I338" s="14" t="n">
        <x:v>2018</x:v>
      </x:c>
      <x:c r="J338" s="14" t="str">
        <x:v>S06</x:v>
      </x:c>
      <x:c r="K338" s="14" t="str">
        <x:v>HISTORIQUE_CENI_2018_A_VALIDER</x:v>
      </x:c>
    </x:row>
    <x:row r="339">
      <x:c r="A339" s="14" t="n">
        <x:v>336</x:v>
      </x:c>
      <x:c r="B339" s="14" t="n">
        <x:v>13</x:v>
      </x:c>
      <x:c r="C339" s="14" t="str">
        <x:v>SECTEUR</x:v>
      </x:c>
      <x:c r="D339" s="14" t="str">
        <x:v>Panzi</x:v>
      </x:c>
      <x:c r="E339" s="14"/>
      <x:c r="F339" s="14"/>
      <x:c r="G339" s="14"/>
      <x:c r="H339" s="14"/>
      <x:c r="I339" s="14" t="n">
        <x:v>2018</x:v>
      </x:c>
      <x:c r="J339" s="14" t="str">
        <x:v>S06</x:v>
      </x:c>
      <x:c r="K339" s="14" t="str">
        <x:v>HISTORIQUE_CENI_2018_A_VALIDER</x:v>
      </x:c>
    </x:row>
    <x:row r="340">
      <x:c r="A340" s="14" t="n">
        <x:v>337</x:v>
      </x:c>
      <x:c r="B340" s="14" t="n">
        <x:v>13</x:v>
      </x:c>
      <x:c r="C340" s="14" t="str">
        <x:v>SECTEUR</x:v>
      </x:c>
      <x:c r="D340" s="14" t="str">
        <x:v>Swa Tenda</x:v>
      </x:c>
      <x:c r="E340" s="14"/>
      <x:c r="F340" s="14"/>
      <x:c r="G340" s="14"/>
      <x:c r="H340" s="14"/>
      <x:c r="I340" s="14" t="n">
        <x:v>2018</x:v>
      </x:c>
      <x:c r="J340" s="14" t="str">
        <x:v>S06</x:v>
      </x:c>
      <x:c r="K340" s="14" t="str">
        <x:v>HISTORIQUE_CENI_2018_A_VALIDER</x:v>
      </x:c>
    </x:row>
    <x:row r="341">
      <x:c r="A341" s="14" t="n">
        <x:v>338</x:v>
      </x:c>
      <x:c r="B341" s="14" t="n">
        <x:v>130</x:v>
      </x:c>
      <x:c r="C341" s="14" t="str">
        <x:v>SECTEUR</x:v>
      </x:c>
      <x:c r="D341" s="14" t="str">
        <x:v>Lukumbe</x:v>
      </x:c>
      <x:c r="E341" s="14"/>
      <x:c r="F341" s="14"/>
      <x:c r="G341" s="14"/>
      <x:c r="H341" s="14"/>
      <x:c r="I341" s="14" t="n">
        <x:v>2018</x:v>
      </x:c>
      <x:c r="J341" s="14" t="str">
        <x:v>S06</x:v>
      </x:c>
      <x:c r="K341" s="14" t="str">
        <x:v>HISTORIQUE_CENI_2018_A_VALIDER</x:v>
      </x:c>
    </x:row>
    <x:row r="342">
      <x:c r="A342" s="14" t="n">
        <x:v>339</x:v>
      </x:c>
      <x:c r="B342" s="14" t="n">
        <x:v>130</x:v>
      </x:c>
      <x:c r="C342" s="14" t="str">
        <x:v>SECTEUR</x:v>
      </x:c>
      <x:c r="D342" s="14" t="str">
        <x:v>Ngandu</x:v>
      </x:c>
      <x:c r="E342" s="14"/>
      <x:c r="F342" s="14"/>
      <x:c r="G342" s="14"/>
      <x:c r="H342" s="14"/>
      <x:c r="I342" s="14" t="n">
        <x:v>2018</x:v>
      </x:c>
      <x:c r="J342" s="14" t="str">
        <x:v>S06</x:v>
      </x:c>
      <x:c r="K342" s="14" t="str">
        <x:v>HISTORIQUE_CENI_2018_A_VALIDER</x:v>
      </x:c>
    </x:row>
    <x:row r="343">
      <x:c r="A343" s="14" t="n">
        <x:v>340</x:v>
      </x:c>
      <x:c r="B343" s="14" t="n">
        <x:v>130</x:v>
      </x:c>
      <x:c r="C343" s="14" t="str">
        <x:v>SECTEUR</x:v>
      </x:c>
      <x:c r="D343" s="14" t="str">
        <x:v>Ukulungu</x:v>
      </x:c>
      <x:c r="E343" s="14"/>
      <x:c r="F343" s="14"/>
      <x:c r="G343" s="14"/>
      <x:c r="H343" s="14"/>
      <x:c r="I343" s="14" t="n">
        <x:v>2018</x:v>
      </x:c>
      <x:c r="J343" s="14" t="str">
        <x:v>S06</x:v>
      </x:c>
      <x:c r="K343" s="14" t="str">
        <x:v>HISTORIQUE_CENI_2018_A_VALIDER</x:v>
      </x:c>
    </x:row>
    <x:row r="344">
      <x:c r="A344" s="14" t="n">
        <x:v>341</x:v>
      </x:c>
      <x:c r="B344" s="14" t="n">
        <x:v>130</x:v>
      </x:c>
      <x:c r="C344" s="14" t="str">
        <x:v>SECTEUR</x:v>
      </x:c>
      <x:c r="D344" s="14" t="str">
        <x:v>Watambulu-Nord</x:v>
      </x:c>
      <x:c r="E344" s="14"/>
      <x:c r="F344" s="14"/>
      <x:c r="G344" s="14"/>
      <x:c r="H344" s="14"/>
      <x:c r="I344" s="14" t="n">
        <x:v>2018</x:v>
      </x:c>
      <x:c r="J344" s="14" t="str">
        <x:v>S06</x:v>
      </x:c>
      <x:c r="K344" s="14" t="str">
        <x:v>HISTORIQUE_CENI_2018_A_VALIDER</x:v>
      </x:c>
    </x:row>
    <x:row r="345">
      <x:c r="A345" s="14" t="n">
        <x:v>342</x:v>
      </x:c>
      <x:c r="B345" s="14" t="n">
        <x:v>130</x:v>
      </x:c>
      <x:c r="C345" s="14" t="str">
        <x:v>SECTEUR</x:v>
      </x:c>
      <x:c r="D345" s="14" t="str">
        <x:v>Watambulu-Sud</x:v>
      </x:c>
      <x:c r="E345" s="14"/>
      <x:c r="F345" s="14"/>
      <x:c r="G345" s="14"/>
      <x:c r="H345" s="14"/>
      <x:c r="I345" s="14" t="n">
        <x:v>2018</x:v>
      </x:c>
      <x:c r="J345" s="14" t="str">
        <x:v>S06</x:v>
      </x:c>
      <x:c r="K345" s="14" t="str">
        <x:v>HISTORIQUE_CENI_2018_A_VALIDER</x:v>
      </x:c>
    </x:row>
    <x:row r="346">
      <x:c r="A346" s="14" t="n">
        <x:v>343</x:v>
      </x:c>
      <x:c r="B346" s="14" t="n">
        <x:v>126</x:v>
      </x:c>
      <x:c r="C346" s="14" t="str">
        <x:v>SECTEUR</x:v>
      </x:c>
      <x:c r="D346" s="14" t="str">
        <x:v>Baluba-Lubilanji</x:v>
      </x:c>
      <x:c r="E346" s="14"/>
      <x:c r="F346" s="14"/>
      <x:c r="G346" s="14"/>
      <x:c r="H346" s="14"/>
      <x:c r="I346" s="14" t="n">
        <x:v>2018</x:v>
      </x:c>
      <x:c r="J346" s="14" t="str">
        <x:v>S06</x:v>
      </x:c>
      <x:c r="K346" s="14" t="str">
        <x:v>HISTORIQUE_CENI_2018_A_VALIDER</x:v>
      </x:c>
    </x:row>
    <x:row r="347">
      <x:c r="A347" s="14" t="n">
        <x:v>344</x:v>
      </x:c>
      <x:c r="B347" s="14" t="n">
        <x:v>126</x:v>
      </x:c>
      <x:c r="C347" s="14" t="str">
        <x:v>SECTEUR</x:v>
      </x:c>
      <x:c r="D347" s="14" t="str">
        <x:v>Mutuayi</x:v>
      </x:c>
      <x:c r="E347" s="14"/>
      <x:c r="F347" s="14"/>
      <x:c r="G347" s="14"/>
      <x:c r="H347" s="14"/>
      <x:c r="I347" s="14" t="n">
        <x:v>2018</x:v>
      </x:c>
      <x:c r="J347" s="14" t="str">
        <x:v>S06</x:v>
      </x:c>
      <x:c r="K347" s="14" t="str">
        <x:v>HISTORIQUE_CENI_2018_A_VALIDER</x:v>
      </x:c>
    </x:row>
    <x:row r="348">
      <x:c r="A348" s="14" t="n">
        <x:v>345</x:v>
      </x:c>
      <x:c r="B348" s="14" t="n">
        <x:v>126</x:v>
      </x:c>
      <x:c r="C348" s="14" t="str">
        <x:v>SECTEUR</x:v>
      </x:c>
      <x:c r="D348" s="14" t="str">
        <x:v>Nsangu</x:v>
      </x:c>
      <x:c r="E348" s="14"/>
      <x:c r="F348" s="14"/>
      <x:c r="G348" s="14"/>
      <x:c r="H348" s="14"/>
      <x:c r="I348" s="14" t="n">
        <x:v>2018</x:v>
      </x:c>
      <x:c r="J348" s="14" t="str">
        <x:v>S06</x:v>
      </x:c>
      <x:c r="K348" s="14" t="str">
        <x:v>HISTORIQUE_CENI_2018_A_VALIDER</x:v>
      </x:c>
    </x:row>
    <x:row r="349">
      <x:c r="A349" s="14" t="n">
        <x:v>346</x:v>
      </x:c>
      <x:c r="B349" s="14" t="n">
        <x:v>126</x:v>
      </x:c>
      <x:c r="C349" s="14" t="str">
        <x:v>SECTEUR</x:v>
      </x:c>
      <x:c r="D349" s="14" t="str">
        <x:v>Tshitolo</x:v>
      </x:c>
      <x:c r="E349" s="14"/>
      <x:c r="F349" s="14"/>
      <x:c r="G349" s="14"/>
      <x:c r="H349" s="14"/>
      <x:c r="I349" s="14" t="n">
        <x:v>2018</x:v>
      </x:c>
      <x:c r="J349" s="14" t="str">
        <x:v>S06</x:v>
      </x:c>
      <x:c r="K349" s="14" t="str">
        <x:v>HISTORIQUE_CENI_2018_A_VALIDER</x:v>
      </x:c>
    </x:row>
    <x:row r="350">
      <x:c r="A350" s="14" t="n">
        <x:v>347</x:v>
      </x:c>
      <x:c r="B350" s="14" t="n">
        <x:v>139</x:v>
      </x:c>
      <x:c r="C350" s="14" t="str">
        <x:v>SECTEUR</x:v>
      </x:c>
      <x:c r="D350" s="14" t="str">
        <x:v>Bashi-Mboie</x:v>
      </x:c>
      <x:c r="E350" s="14"/>
      <x:c r="F350" s="14"/>
      <x:c r="G350" s="14"/>
      <x:c r="H350" s="14"/>
      <x:c r="I350" s="14" t="n">
        <x:v>2018</x:v>
      </x:c>
      <x:c r="J350" s="14" t="str">
        <x:v>S06</x:v>
      </x:c>
      <x:c r="K350" s="14" t="str">
        <x:v>HISTORIQUE_CENI_2018_A_VALIDER</x:v>
      </x:c>
    </x:row>
    <x:row r="351">
      <x:c r="A351" s="14" t="n">
        <x:v>348</x:v>
      </x:c>
      <x:c r="B351" s="14" t="n">
        <x:v>139</x:v>
      </x:c>
      <x:c r="C351" s="14" t="str">
        <x:v>SECTEUR</x:v>
      </x:c>
      <x:c r="D351" s="14" t="str">
        <x:v>Bena-Ngoshi</x:v>
      </x:c>
      <x:c r="E351" s="14"/>
      <x:c r="F351" s="14"/>
      <x:c r="G351" s="14"/>
      <x:c r="H351" s="14"/>
      <x:c r="I351" s="14" t="n">
        <x:v>2018</x:v>
      </x:c>
      <x:c r="J351" s="14" t="str">
        <x:v>S06</x:v>
      </x:c>
      <x:c r="K351" s="14" t="str">
        <x:v>HISTORIQUE_CENI_2018_A_VALIDER</x:v>
      </x:c>
    </x:row>
    <x:row r="352">
      <x:c r="A352" s="14" t="n">
        <x:v>349</x:v>
      </x:c>
      <x:c r="B352" s="14" t="n">
        <x:v>139</x:v>
      </x:c>
      <x:c r="C352" s="14" t="str">
        <x:v>SECTEUR</x:v>
      </x:c>
      <x:c r="D352" s="14" t="str">
        <x:v>Bulungu</x:v>
      </x:c>
      <x:c r="E352" s="14"/>
      <x:c r="F352" s="14"/>
      <x:c r="G352" s="14"/>
      <x:c r="H352" s="14"/>
      <x:c r="I352" s="14" t="n">
        <x:v>2018</x:v>
      </x:c>
      <x:c r="J352" s="14" t="str">
        <x:v>S06</x:v>
      </x:c>
      <x:c r="K352" s="14" t="str">
        <x:v>HISTORIQUE_CENI_2018_A_VALIDER</x:v>
      </x:c>
    </x:row>
    <x:row r="353">
      <x:c r="A353" s="14" t="n">
        <x:v>350</x:v>
      </x:c>
      <x:c r="B353" s="14" t="n">
        <x:v>139</x:v>
      </x:c>
      <x:c r="C353" s="14" t="str">
        <x:v>SECTEUR</x:v>
      </x:c>
      <x:c r="D353" s="14" t="str">
        <x:v>Kafuba</x:v>
      </x:c>
      <x:c r="E353" s="14"/>
      <x:c r="F353" s="14"/>
      <x:c r="G353" s="14"/>
      <x:c r="H353" s="14"/>
      <x:c r="I353" s="14" t="n">
        <x:v>2018</x:v>
      </x:c>
      <x:c r="J353" s="14" t="str">
        <x:v>S06</x:v>
      </x:c>
      <x:c r="K353" s="14" t="str">
        <x:v>HISTORIQUE_CENI_2018_A_VALIDER</x:v>
      </x:c>
    </x:row>
    <x:row r="354">
      <x:c r="A354" s="14" t="n">
        <x:v>351</x:v>
      </x:c>
      <x:c r="B354" s="14" t="n">
        <x:v>139</x:v>
      </x:c>
      <x:c r="C354" s="14" t="str">
        <x:v>SECTEUR</x:v>
      </x:c>
      <x:c r="D354" s="14" t="str">
        <x:v>Kavula</x:v>
      </x:c>
      <x:c r="E354" s="14"/>
      <x:c r="F354" s="14"/>
      <x:c r="G354" s="14"/>
      <x:c r="H354" s="14"/>
      <x:c r="I354" s="14" t="n">
        <x:v>2018</x:v>
      </x:c>
      <x:c r="J354" s="14" t="str">
        <x:v>S06</x:v>
      </x:c>
      <x:c r="K354" s="14" t="str">
        <x:v>HISTORIQUE_CENI_2018_A_VALIDER</x:v>
      </x:c>
    </x:row>
    <x:row r="355">
      <x:c r="A355" s="14" t="n">
        <x:v>352</x:v>
      </x:c>
      <x:c r="B355" s="14" t="n">
        <x:v>139</x:v>
      </x:c>
      <x:c r="C355" s="14" t="str">
        <x:v>SECTEUR</x:v>
      </x:c>
      <x:c r="D355" s="14" t="str">
        <x:v>Matamba</x:v>
      </x:c>
      <x:c r="E355" s="14"/>
      <x:c r="F355" s="14"/>
      <x:c r="G355" s="14"/>
      <x:c r="H355" s="14"/>
      <x:c r="I355" s="14" t="n">
        <x:v>2018</x:v>
      </x:c>
      <x:c r="J355" s="14" t="str">
        <x:v>S06</x:v>
      </x:c>
      <x:c r="K355" s="14" t="str">
        <x:v>HISTORIQUE_CENI_2018_A_VALIDER</x:v>
      </x:c>
    </x:row>
    <x:row r="356">
      <x:c r="A356" s="14" t="n">
        <x:v>353</x:v>
      </x:c>
      <x:c r="B356" s="14" t="n">
        <x:v>139</x:v>
      </x:c>
      <x:c r="C356" s="14" t="str">
        <x:v>SECTEUR</x:v>
      </x:c>
      <x:c r="D356" s="14" t="str">
        <x:v>Miao</x:v>
      </x:c>
      <x:c r="E356" s="14"/>
      <x:c r="F356" s="14"/>
      <x:c r="G356" s="14"/>
      <x:c r="H356" s="14"/>
      <x:c r="I356" s="14" t="n">
        <x:v>2018</x:v>
      </x:c>
      <x:c r="J356" s="14" t="str">
        <x:v>S06</x:v>
      </x:c>
      <x:c r="K356" s="14" t="str">
        <x:v>HISTORIQUE_CENI_2018_A_VALIDER</x:v>
      </x:c>
    </x:row>
    <x:row r="357">
      <x:c r="A357" s="14" t="n">
        <x:v>354</x:v>
      </x:c>
      <x:c r="B357" s="14" t="n">
        <x:v>139</x:v>
      </x:c>
      <x:c r="C357" s="14" t="str">
        <x:v>SECTEUR</x:v>
      </x:c>
      <x:c r="D357" s="14" t="str">
        <x:v>Muswaswa</x:v>
      </x:c>
      <x:c r="E357" s="14"/>
      <x:c r="F357" s="14"/>
      <x:c r="G357" s="14"/>
      <x:c r="H357" s="14"/>
      <x:c r="I357" s="14" t="n">
        <x:v>2018</x:v>
      </x:c>
      <x:c r="J357" s="14" t="str">
        <x:v>S06</x:v>
      </x:c>
      <x:c r="K357" s="14" t="str">
        <x:v>HISTORIQUE_CENI_2018_A_VALIDER</x:v>
      </x:c>
    </x:row>
    <x:row r="358">
      <x:c r="A358" s="14" t="n">
        <x:v>355</x:v>
      </x:c>
      <x:c r="B358" s="14" t="n">
        <x:v>139</x:v>
      </x:c>
      <x:c r="C358" s="14" t="str">
        <x:v>SECTEUR</x:v>
      </x:c>
      <x:c r="D358" s="14" t="str">
        <x:v>Tshitadi</x:v>
      </x:c>
      <x:c r="E358" s="14"/>
      <x:c r="F358" s="14"/>
      <x:c r="G358" s="14"/>
      <x:c r="H358" s="14"/>
      <x:c r="I358" s="14" t="n">
        <x:v>2018</x:v>
      </x:c>
      <x:c r="J358" s="14" t="str">
        <x:v>S06</x:v>
      </x:c>
      <x:c r="K358" s="14" t="str">
        <x:v>HISTORIQUE_CENI_2018_A_VALIDER</x:v>
      </x:c>
    </x:row>
    <x:row r="359">
      <x:c r="A359" s="14" t="n">
        <x:v>356</x:v>
      </x:c>
      <x:c r="B359" s="14" t="n">
        <x:v>14</x:v>
      </x:c>
      <x:c r="C359" s="14" t="str">
        <x:v>SECTEUR</x:v>
      </x:c>
      <x:c r="D359" s="14" t="str">
        <x:v>Bukanga-Lonzo</x:v>
      </x:c>
      <x:c r="E359" s="14"/>
      <x:c r="F359" s="14"/>
      <x:c r="G359" s="14"/>
      <x:c r="H359" s="14"/>
      <x:c r="I359" s="14" t="n">
        <x:v>2018</x:v>
      </x:c>
      <x:c r="J359" s="14" t="str">
        <x:v>S06</x:v>
      </x:c>
      <x:c r="K359" s="14" t="str">
        <x:v>HISTORIQUE_CENI_2018_A_VALIDER</x:v>
      </x:c>
    </x:row>
    <x:row r="360">
      <x:c r="A360" s="14" t="n">
        <x:v>357</x:v>
      </x:c>
      <x:c r="B360" s="14" t="n">
        <x:v>14</x:v>
      </x:c>
      <x:c r="C360" s="14" t="str">
        <x:v>SECTEUR</x:v>
      </x:c>
      <x:c r="D360" s="14" t="str">
        <x:v>Dinga</x:v>
      </x:c>
      <x:c r="E360" s="14"/>
      <x:c r="F360" s="14"/>
      <x:c r="G360" s="14"/>
      <x:c r="H360" s="14"/>
      <x:c r="I360" s="14" t="n">
        <x:v>2018</x:v>
      </x:c>
      <x:c r="J360" s="14" t="str">
        <x:v>S06</x:v>
      </x:c>
      <x:c r="K360" s="14" t="str">
        <x:v>HISTORIQUE_CENI_2018_A_VALIDER</x:v>
      </x:c>
    </x:row>
    <x:row r="361">
      <x:c r="A361" s="14" t="n">
        <x:v>358</x:v>
      </x:c>
      <x:c r="B361" s="14" t="n">
        <x:v>14</x:v>
      </x:c>
      <x:c r="C361" s="14" t="str">
        <x:v>SECTEUR</x:v>
      </x:c>
      <x:c r="D361" s="14" t="str">
        <x:v>Kolokoso</x:v>
      </x:c>
      <x:c r="E361" s="14"/>
      <x:c r="F361" s="14"/>
      <x:c r="G361" s="14"/>
      <x:c r="H361" s="14"/>
      <x:c r="I361" s="14" t="n">
        <x:v>2018</x:v>
      </x:c>
      <x:c r="J361" s="14" t="str">
        <x:v>S06</x:v>
      </x:c>
      <x:c r="K361" s="14" t="str">
        <x:v>HISTORIQUE_CENI_2018_A_VALIDER</x:v>
      </x:c>
    </x:row>
    <x:row r="362">
      <x:c r="A362" s="14" t="n">
        <x:v>359</x:v>
      </x:c>
      <x:c r="B362" s="14" t="n">
        <x:v>14</x:v>
      </x:c>
      <x:c r="C362" s="14" t="str">
        <x:v>SECTEUR</x:v>
      </x:c>
      <x:c r="D362" s="14" t="str">
        <x:v>Mosamba</x:v>
      </x:c>
      <x:c r="E362" s="14"/>
      <x:c r="F362" s="14"/>
      <x:c r="G362" s="14"/>
      <x:c r="H362" s="14"/>
      <x:c r="I362" s="14" t="n">
        <x:v>2018</x:v>
      </x:c>
      <x:c r="J362" s="14" t="str">
        <x:v>S06</x:v>
      </x:c>
      <x:c r="K362" s="14" t="str">
        <x:v>HISTORIQUE_CENI_2018_A_VALIDER</x:v>
      </x:c>
    </x:row>
    <x:row r="363">
      <x:c r="A363" s="14" t="n">
        <x:v>360</x:v>
      </x:c>
      <x:c r="B363" s="14" t="n">
        <x:v>14</x:v>
      </x:c>
      <x:c r="C363" s="14" t="str">
        <x:v>CHEFFERIE</x:v>
      </x:c>
      <x:c r="D363" s="14" t="str">
        <x:v>Pelende-Nord</x:v>
      </x:c>
      <x:c r="E363" s="14"/>
      <x:c r="F363" s="14"/>
      <x:c r="G363" s="14"/>
      <x:c r="H363" s="14"/>
      <x:c r="I363" s="14" t="n">
        <x:v>2018</x:v>
      </x:c>
      <x:c r="J363" s="14" t="str">
        <x:v>S06</x:v>
      </x:c>
      <x:c r="K363" s="14" t="str">
        <x:v>HISTORIQUE_CENI_2018_A_VALIDER</x:v>
      </x:c>
    </x:row>
    <x:row r="364">
      <x:c r="A364" s="14" t="n">
        <x:v>361</x:v>
      </x:c>
      <x:c r="B364" s="14" t="n">
        <x:v>2</x:v>
      </x:c>
      <x:c r="C364" s="14" t="str">
        <x:v>SECTEUR</x:v>
      </x:c>
      <x:c r="D364" s="14" t="str">
        <x:v>Benga</x:v>
      </x:c>
      <x:c r="E364" s="14"/>
      <x:c r="F364" s="14"/>
      <x:c r="G364" s="14"/>
      <x:c r="H364" s="14"/>
      <x:c r="I364" s="14" t="n">
        <x:v>2018</x:v>
      </x:c>
      <x:c r="J364" s="14" t="str">
        <x:v>S06</x:v>
      </x:c>
      <x:c r="K364" s="14" t="str">
        <x:v>HISTORIQUE_CENI_2018_A_VALIDER</x:v>
      </x:c>
    </x:row>
    <x:row r="365">
      <x:c r="A365" s="14" t="n">
        <x:v>362</x:v>
      </x:c>
      <x:c r="B365" s="14" t="n">
        <x:v>2</x:v>
      </x:c>
      <x:c r="C365" s="14" t="str">
        <x:v>SECTEUR</x:v>
      </x:c>
      <x:c r="D365" s="14" t="str">
        <x:v>Lubisi</x:v>
      </x:c>
      <x:c r="E365" s="14"/>
      <x:c r="F365" s="14"/>
      <x:c r="G365" s="14"/>
      <x:c r="H365" s="14"/>
      <x:c r="I365" s="14" t="n">
        <x:v>2018</x:v>
      </x:c>
      <x:c r="J365" s="14" t="str">
        <x:v>S06</x:v>
      </x:c>
      <x:c r="K365" s="14" t="str">
        <x:v>HISTORIQUE_CENI_2018_A_VALIDER</x:v>
      </x:c>
    </x:row>
    <x:row r="366">
      <x:c r="A366" s="14" t="n">
        <x:v>363</x:v>
      </x:c>
      <x:c r="B366" s="14" t="n">
        <x:v>2</x:v>
      </x:c>
      <x:c r="C366" s="14" t="str">
        <x:v>SECTEUR</x:v>
      </x:c>
      <x:c r="D366" s="14" t="str">
        <x:v>Lula-Lumene</x:v>
      </x:c>
      <x:c r="E366" s="14"/>
      <x:c r="F366" s="14"/>
      <x:c r="G366" s="14"/>
      <x:c r="H366" s="14"/>
      <x:c r="I366" s="14" t="n">
        <x:v>2018</x:v>
      </x:c>
      <x:c r="J366" s="14" t="str">
        <x:v>S06</x:v>
      </x:c>
      <x:c r="K366" s="14" t="str">
        <x:v>HISTORIQUE_CENI_2018_A_VALIDER</x:v>
      </x:c>
    </x:row>
    <x:row r="367">
      <x:c r="A367" s="14" t="n">
        <x:v>364</x:v>
      </x:c>
      <x:c r="B367" s="14" t="n">
        <x:v>92</x:v>
      </x:c>
      <x:c r="C367" s="14" t="str">
        <x:v>SECTEUR</x:v>
      </x:c>
      <x:c r="D367" s="14" t="str">
        <x:v>Ambwe</x:v>
      </x:c>
      <x:c r="E367" s="14"/>
      <x:c r="F367" s="14"/>
      <x:c r="G367" s="14"/>
      <x:c r="H367" s="14"/>
      <x:c r="I367" s="14" t="n">
        <x:v>2018</x:v>
      </x:c>
      <x:c r="J367" s="14" t="str">
        <x:v>S06</x:v>
      </x:c>
      <x:c r="K367" s="14" t="str">
        <x:v>HISTORIQUE_CENI_2018_A_VALIDER</x:v>
      </x:c>
    </x:row>
    <x:row r="368">
      <x:c r="A368" s="14" t="n">
        <x:v>365</x:v>
      </x:c>
      <x:c r="B368" s="14" t="n">
        <x:v>92</x:v>
      </x:c>
      <x:c r="C368" s="14" t="str">
        <x:v>SECTEUR</x:v>
      </x:c>
      <x:c r="D368" s="14" t="str">
        <x:v>Balanga</x:v>
      </x:c>
      <x:c r="E368" s="14"/>
      <x:c r="F368" s="14"/>
      <x:c r="G368" s="14"/>
      <x:c r="H368" s="14"/>
      <x:c r="I368" s="14" t="n">
        <x:v>2018</x:v>
      </x:c>
      <x:c r="J368" s="14" t="str">
        <x:v>S06</x:v>
      </x:c>
      <x:c r="K368" s="14" t="str">
        <x:v>HISTORIQUE_CENI_2018_A_VALIDER</x:v>
      </x:c>
    </x:row>
    <x:row r="369">
      <x:c r="A369" s="14" t="n">
        <x:v>366</x:v>
      </x:c>
      <x:c r="B369" s="14" t="n">
        <x:v>92</x:v>
      </x:c>
      <x:c r="C369" s="14" t="str">
        <x:v>CHEFFERIE</x:v>
      </x:c>
      <x:c r="D369" s="14" t="str">
        <x:v>Bangengele</x:v>
      </x:c>
      <x:c r="E369" s="14"/>
      <x:c r="F369" s="14"/>
      <x:c r="G369" s="14"/>
      <x:c r="H369" s="14"/>
      <x:c r="I369" s="14" t="n">
        <x:v>2018</x:v>
      </x:c>
      <x:c r="J369" s="14" t="str">
        <x:v>S06</x:v>
      </x:c>
      <x:c r="K369" s="14" t="str">
        <x:v>HISTORIQUE_CENI_2018_A_VALIDER</x:v>
      </x:c>
    </x:row>
    <x:row r="370">
      <x:c r="A370" s="14" t="n">
        <x:v>367</x:v>
      </x:c>
      <x:c r="B370" s="14" t="n">
        <x:v>92</x:v>
      </x:c>
      <x:c r="C370" s="14" t="str">
        <x:v>SECTEUR</x:v>
      </x:c>
      <x:c r="D370" s="14" t="str">
        <x:v>Wasongola</x:v>
      </x:c>
      <x:c r="E370" s="14"/>
      <x:c r="F370" s="14"/>
      <x:c r="G370" s="14"/>
      <x:c r="H370" s="14"/>
      <x:c r="I370" s="14" t="n">
        <x:v>2018</x:v>
      </x:c>
      <x:c r="J370" s="14" t="str">
        <x:v>S06</x:v>
      </x:c>
      <x:c r="K370" s="14" t="str">
        <x:v>HISTORIQUE_CENI_2018_A_VALIDER</x:v>
      </x:c>
    </x:row>
    <x:row r="371">
      <x:c r="A371" s="14" t="n">
        <x:v>368</x:v>
      </x:c>
      <x:c r="B371" s="14" t="n">
        <x:v>94</x:v>
      </x:c>
      <x:c r="C371" s="14" t="str">
        <x:v>CHEFFERIE</x:v>
      </x:c>
      <x:c r="D371" s="14" t="str">
        <x:v>Aluba</x:v>
      </x:c>
      <x:c r="E371" s="14"/>
      <x:c r="F371" s="14"/>
      <x:c r="G371" s="14"/>
      <x:c r="H371" s="14"/>
      <x:c r="I371" s="14" t="n">
        <x:v>2018</x:v>
      </x:c>
      <x:c r="J371" s="14" t="str">
        <x:v>S06</x:v>
      </x:c>
      <x:c r="K371" s="14" t="str">
        <x:v>HISTORIQUE_CENI_2018_A_VALIDER</x:v>
      </x:c>
    </x:row>
    <x:row r="372">
      <x:c r="A372" s="14" t="n">
        <x:v>369</x:v>
      </x:c>
      <x:c r="B372" s="14" t="n">
        <x:v>94</x:v>
      </x:c>
      <x:c r="C372" s="14" t="str">
        <x:v>CHEFFERIE</x:v>
      </x:c>
      <x:c r="D372" s="14" t="str">
        <x:v>Ankutshu</x:v>
      </x:c>
      <x:c r="E372" s="14"/>
      <x:c r="F372" s="14"/>
      <x:c r="G372" s="14"/>
      <x:c r="H372" s="14"/>
      <x:c r="I372" s="14" t="n">
        <x:v>2018</x:v>
      </x:c>
      <x:c r="J372" s="14" t="str">
        <x:v>S06</x:v>
      </x:c>
      <x:c r="K372" s="14" t="str">
        <x:v>HISTORIQUE_CENI_2018_A_VALIDER</x:v>
      </x:c>
    </x:row>
    <x:row r="373">
      <x:c r="A373" s="14" t="n">
        <x:v>370</x:v>
      </x:c>
      <x:c r="B373" s="14" t="n">
        <x:v>94</x:v>
      </x:c>
      <x:c r="C373" s="14" t="str">
        <x:v>CHEFFERIE</x:v>
      </x:c>
      <x:c r="D373" s="14" t="str">
        <x:v>Bahina</x:v>
      </x:c>
      <x:c r="E373" s="14"/>
      <x:c r="F373" s="14"/>
      <x:c r="G373" s="14"/>
      <x:c r="H373" s="14"/>
      <x:c r="I373" s="14" t="n">
        <x:v>2018</x:v>
      </x:c>
      <x:c r="J373" s="14" t="str">
        <x:v>S06</x:v>
      </x:c>
      <x:c r="K373" s="14" t="str">
        <x:v>HISTORIQUE_CENI_2018_A_VALIDER</x:v>
      </x:c>
    </x:row>
    <x:row r="374">
      <x:c r="A374" s="14" t="n">
        <x:v>371</x:v>
      </x:c>
      <x:c r="B374" s="14" t="n">
        <x:v>94</x:v>
      </x:c>
      <x:c r="C374" s="14" t="str">
        <x:v>CHEFFERIE</x:v>
      </x:c>
      <x:c r="D374" s="14" t="str">
        <x:v>Bakongola</x:v>
      </x:c>
      <x:c r="E374" s="14"/>
      <x:c r="F374" s="14"/>
      <x:c r="G374" s="14"/>
      <x:c r="H374" s="14"/>
      <x:c r="I374" s="14" t="n">
        <x:v>2018</x:v>
      </x:c>
      <x:c r="J374" s="14" t="str">
        <x:v>S06</x:v>
      </x:c>
      <x:c r="K374" s="14" t="str">
        <x:v>HISTORIQUE_CENI_2018_A_VALIDER</x:v>
      </x:c>
    </x:row>
    <x:row r="375">
      <x:c r="A375" s="14" t="n">
        <x:v>372</x:v>
      </x:c>
      <x:c r="B375" s="14" t="n">
        <x:v>94</x:v>
      </x:c>
      <x:c r="C375" s="14" t="str">
        <x:v>CHEFFERIE</x:v>
      </x:c>
      <x:c r="D375" s="14" t="str">
        <x:v>Matapa</x:v>
      </x:c>
      <x:c r="E375" s="14"/>
      <x:c r="F375" s="14"/>
      <x:c r="G375" s="14"/>
      <x:c r="H375" s="14"/>
      <x:c r="I375" s="14" t="n">
        <x:v>2018</x:v>
      </x:c>
      <x:c r="J375" s="14" t="str">
        <x:v>S06</x:v>
      </x:c>
      <x:c r="K375" s="14" t="str">
        <x:v>HISTORIQUE_CENI_2018_A_VALIDER</x:v>
      </x:c>
    </x:row>
    <x:row r="376">
      <x:c r="A376" s="14" t="n">
        <x:v>373</x:v>
      </x:c>
      <x:c r="B376" s="14" t="n">
        <x:v>100</x:v>
      </x:c>
      <x:c r="C376" s="14" t="str">
        <x:v>SECTEUR</x:v>
      </x:c>
      <x:c r="D376" s="14" t="str">
        <x:v>Bukanda</x:v>
      </x:c>
      <x:c r="E376" s="14"/>
      <x:c r="F376" s="14"/>
      <x:c r="G376" s="14"/>
      <x:c r="H376" s="14"/>
      <x:c r="I376" s="14" t="n">
        <x:v>2018</x:v>
      </x:c>
      <x:c r="J376" s="14" t="str">
        <x:v>S06</x:v>
      </x:c>
      <x:c r="K376" s="14" t="str">
        <x:v>HISTORIQUE_CENI_2018_A_VALIDER</x:v>
      </x:c>
    </x:row>
    <x:row r="377">
      <x:c r="A377" s="14" t="n">
        <x:v>374</x:v>
      </x:c>
      <x:c r="B377" s="14" t="n">
        <x:v>100</x:v>
      </x:c>
      <x:c r="C377" s="14" t="str">
        <x:v>CHEFFERIE</x:v>
      </x:c>
      <x:c r="D377" s="14" t="str">
        <x:v>Kaponda</x:v>
      </x:c>
      <x:c r="E377" s="14"/>
      <x:c r="F377" s="14"/>
      <x:c r="G377" s="14"/>
      <x:c r="H377" s="14"/>
      <x:c r="I377" s="14" t="n">
        <x:v>2018</x:v>
      </x:c>
      <x:c r="J377" s="14" t="str">
        <x:v>S06</x:v>
      </x:c>
      <x:c r="K377" s="14" t="str">
        <x:v>HISTORIQUE_CENI_2018_A_VALIDER</x:v>
      </x:c>
    </x:row>
    <x:row r="378">
      <x:c r="A378" s="14" t="n">
        <x:v>375</x:v>
      </x:c>
      <x:c r="B378" s="14" t="n">
        <x:v>100</x:v>
      </x:c>
      <x:c r="C378" s="14" t="str">
        <x:v>CHEFFERIE</x:v>
      </x:c>
      <x:c r="D378" s="14" t="str">
        <x:v>Kinyama</x:v>
      </x:c>
      <x:c r="E378" s="14"/>
      <x:c r="F378" s="14"/>
      <x:c r="G378" s="14"/>
      <x:c r="H378" s="14"/>
      <x:c r="I378" s="14" t="n">
        <x:v>2018</x:v>
      </x:c>
      <x:c r="J378" s="14" t="str">
        <x:v>S06</x:v>
      </x:c>
      <x:c r="K378" s="14" t="str">
        <x:v>HISTORIQUE_CENI_2018_A_VALIDER</x:v>
      </x:c>
    </x:row>
    <x:row r="379">
      <x:c r="A379" s="14" t="n">
        <x:v>376</x:v>
      </x:c>
      <x:c r="B379" s="14" t="n">
        <x:v>23</x:v>
      </x:c>
      <x:c r="C379" s="14" t="str">
        <x:v>SECTEUR</x:v>
      </x:c>
      <x:c r="D379" s="14" t="str">
        <x:v>Beronge</x:v>
      </x:c>
      <x:c r="E379" s="14"/>
      <x:c r="F379" s="14"/>
      <x:c r="G379" s="14"/>
      <x:c r="H379" s="14"/>
      <x:c r="I379" s="14" t="n">
        <x:v>2018</x:v>
      </x:c>
      <x:c r="J379" s="14" t="str">
        <x:v>S06</x:v>
      </x:c>
      <x:c r="K379" s="14" t="str">
        <x:v>HISTORIQUE_CENI_2018_A_VALIDER</x:v>
      </x:c>
    </x:row>
    <x:row r="380">
      <x:c r="A380" s="14" t="n">
        <x:v>377</x:v>
      </x:c>
      <x:c r="B380" s="14" t="n">
        <x:v>23</x:v>
      </x:c>
      <x:c r="C380" s="14" t="str">
        <x:v>SECTEUR</x:v>
      </x:c>
      <x:c r="D380" s="14" t="str">
        <x:v>Lutoy</x:v>
      </x:c>
      <x:c r="E380" s="14"/>
      <x:c r="F380" s="14"/>
      <x:c r="G380" s="14"/>
      <x:c r="H380" s="14"/>
      <x:c r="I380" s="14" t="n">
        <x:v>2018</x:v>
      </x:c>
      <x:c r="J380" s="14" t="str">
        <x:v>S06</x:v>
      </x:c>
      <x:c r="K380" s="14" t="str">
        <x:v>HISTORIQUE_CENI_2018_A_VALIDER</x:v>
      </x:c>
    </x:row>
    <x:row r="381">
      <x:c r="A381" s="14" t="n">
        <x:v>378</x:v>
      </x:c>
      <x:c r="B381" s="14" t="n">
        <x:v>23</x:v>
      </x:c>
      <x:c r="C381" s="14" t="str">
        <x:v>SECTEUR</x:v>
      </x:c>
      <x:c r="D381" s="14" t="str">
        <x:v>Pendjwa</x:v>
      </x:c>
      <x:c r="E381" s="14"/>
      <x:c r="F381" s="14"/>
      <x:c r="G381" s="14"/>
      <x:c r="H381" s="14"/>
      <x:c r="I381" s="14" t="n">
        <x:v>2018</x:v>
      </x:c>
      <x:c r="J381" s="14" t="str">
        <x:v>S06</x:v>
      </x:c>
      <x:c r="K381" s="14" t="str">
        <x:v>HISTORIQUE_CENI_2018_A_VALIDER</x:v>
      </x:c>
    </x:row>
    <x:row r="382">
      <x:c r="A382" s="14" t="n">
        <x:v>379</x:v>
      </x:c>
      <x:c r="B382" s="14" t="n">
        <x:v>131</x:v>
      </x:c>
      <x:c r="C382" s="14" t="str">
        <x:v>SECTEUR</x:v>
      </x:c>
      <x:c r="D382" s="14" t="str">
        <x:v>Atshuru</x:v>
      </x:c>
      <x:c r="E382" s="14"/>
      <x:c r="F382" s="14"/>
      <x:c r="G382" s="14"/>
      <x:c r="H382" s="14"/>
      <x:c r="I382" s="14" t="n">
        <x:v>2018</x:v>
      </x:c>
      <x:c r="J382" s="14" t="str">
        <x:v>S06</x:v>
      </x:c>
      <x:c r="K382" s="14" t="str">
        <x:v>HISTORIQUE_CENI_2018_A_VALIDER</x:v>
      </x:c>
    </x:row>
    <x:row r="383">
      <x:c r="A383" s="14" t="n">
        <x:v>380</x:v>
      </x:c>
      <x:c r="B383" s="14" t="n">
        <x:v>131</x:v>
      </x:c>
      <x:c r="C383" s="14" t="str">
        <x:v>SECTEUR</x:v>
      </x:c>
      <x:c r="D383" s="14" t="str">
        <x:v>Bankutshu-Dibele</x:v>
      </x:c>
      <x:c r="E383" s="14"/>
      <x:c r="F383" s="14"/>
      <x:c r="G383" s="14"/>
      <x:c r="H383" s="14"/>
      <x:c r="I383" s="14" t="n">
        <x:v>2018</x:v>
      </x:c>
      <x:c r="J383" s="14" t="str">
        <x:v>S06</x:v>
      </x:c>
      <x:c r="K383" s="14" t="str">
        <x:v>HISTORIQUE_CENI_2018_A_VALIDER</x:v>
      </x:c>
    </x:row>
    <x:row r="384">
      <x:c r="A384" s="14" t="n">
        <x:v>381</x:v>
      </x:c>
      <x:c r="B384" s="14" t="n">
        <x:v>131</x:v>
      </x:c>
      <x:c r="C384" s="14" t="str">
        <x:v>SECTEUR</x:v>
      </x:c>
      <x:c r="D384" s="14" t="str">
        <x:v>Bankutshu-Lukenie</x:v>
      </x:c>
      <x:c r="E384" s="14"/>
      <x:c r="F384" s="14"/>
      <x:c r="G384" s="14"/>
      <x:c r="H384" s="14"/>
      <x:c r="I384" s="14" t="n">
        <x:v>2018</x:v>
      </x:c>
      <x:c r="J384" s="14" t="str">
        <x:v>S06</x:v>
      </x:c>
      <x:c r="K384" s="14" t="str">
        <x:v>HISTORIQUE_CENI_2018_A_VALIDER</x:v>
      </x:c>
    </x:row>
    <x:row r="385">
      <x:c r="A385" s="14" t="n">
        <x:v>382</x:v>
      </x:c>
      <x:c r="B385" s="14" t="n">
        <x:v>131</x:v>
      </x:c>
      <x:c r="C385" s="14" t="str">
        <x:v>SECTEUR</x:v>
      </x:c>
      <x:c r="D385" s="14" t="str">
        <x:v>Basho</x:v>
      </x:c>
      <x:c r="E385" s="14"/>
      <x:c r="F385" s="14"/>
      <x:c r="G385" s="14"/>
      <x:c r="H385" s="14"/>
      <x:c r="I385" s="14" t="n">
        <x:v>2018</x:v>
      </x:c>
      <x:c r="J385" s="14" t="str">
        <x:v>S06</x:v>
      </x:c>
      <x:c r="K385" s="14" t="str">
        <x:v>HISTORIQUE_CENI_2018_A_VALIDER</x:v>
      </x:c>
    </x:row>
    <x:row r="386">
      <x:c r="A386" s="14" t="n">
        <x:v>383</x:v>
      </x:c>
      <x:c r="B386" s="14" t="n">
        <x:v>131</x:v>
      </x:c>
      <x:c r="C386" s="14" t="str">
        <x:v>SECTEUR</x:v>
      </x:c>
      <x:c r="D386" s="14" t="str">
        <x:v>Batetela-Dibele</x:v>
      </x:c>
      <x:c r="E386" s="14"/>
      <x:c r="F386" s="14"/>
      <x:c r="G386" s="14"/>
      <x:c r="H386" s="14"/>
      <x:c r="I386" s="14" t="n">
        <x:v>2018</x:v>
      </x:c>
      <x:c r="J386" s="14" t="str">
        <x:v>S06</x:v>
      </x:c>
      <x:c r="K386" s="14" t="str">
        <x:v>HISTORIQUE_CENI_2018_A_VALIDER</x:v>
      </x:c>
    </x:row>
    <x:row r="387">
      <x:c r="A387" s="14" t="n">
        <x:v>384</x:v>
      </x:c>
      <x:c r="B387" s="14" t="n">
        <x:v>131</x:v>
      </x:c>
      <x:c r="C387" s="14" t="str">
        <x:v>SECTEUR</x:v>
      </x:c>
      <x:c r="D387" s="14" t="str">
        <x:v>Ohindo</x:v>
      </x:c>
      <x:c r="E387" s="14"/>
      <x:c r="F387" s="14"/>
      <x:c r="G387" s="14"/>
      <x:c r="H387" s="14"/>
      <x:c r="I387" s="14" t="n">
        <x:v>2018</x:v>
      </x:c>
      <x:c r="J387" s="14" t="str">
        <x:v>S06</x:v>
      </x:c>
      <x:c r="K387" s="14" t="str">
        <x:v>HISTORIQUE_CENI_2018_A_VALIDER</x:v>
      </x:c>
    </x:row>
    <x:row r="388">
      <x:c r="A388" s="14" t="n">
        <x:v>385</x:v>
      </x:c>
      <x:c r="B388" s="14" t="n">
        <x:v>116</x:v>
      </x:c>
      <x:c r="C388" s="14" t="str">
        <x:v>SECTEUR</x:v>
      </x:c>
      <x:c r="D388" s="14" t="str">
        <x:v>Baluba</x:v>
      </x:c>
      <x:c r="E388" s="14"/>
      <x:c r="F388" s="14"/>
      <x:c r="G388" s="14"/>
      <x:c r="H388" s="14"/>
      <x:c r="I388" s="14" t="n">
        <x:v>2018</x:v>
      </x:c>
      <x:c r="J388" s="14" t="str">
        <x:v>S06</x:v>
      </x:c>
      <x:c r="K388" s="14" t="str">
        <x:v>HISTORIQUE_CENI_2018_A_VALIDER</x:v>
      </x:c>
    </x:row>
    <x:row r="389">
      <x:c r="A389" s="14" t="n">
        <x:v>386</x:v>
      </x:c>
      <x:c r="B389" s="14" t="n">
        <x:v>116</x:v>
      </x:c>
      <x:c r="C389" s="14" t="str">
        <x:v>SECTEUR</x:v>
      </x:c>
      <x:c r="D389" s="14" t="str">
        <x:v>Basonge</x:v>
      </x:c>
      <x:c r="E389" s="14"/>
      <x:c r="F389" s="14"/>
      <x:c r="G389" s="14"/>
      <x:c r="H389" s="14"/>
      <x:c r="I389" s="14" t="n">
        <x:v>2018</x:v>
      </x:c>
      <x:c r="J389" s="14" t="str">
        <x:v>S06</x:v>
      </x:c>
      <x:c r="K389" s="14" t="str">
        <x:v>HISTORIQUE_CENI_2018_A_VALIDER</x:v>
      </x:c>
    </x:row>
    <x:row r="390">
      <x:c r="A390" s="14" t="n">
        <x:v>387</x:v>
      </x:c>
      <x:c r="B390" s="14" t="n">
        <x:v>116</x:v>
      </x:c>
      <x:c r="C390" s="14" t="str">
        <x:v>CHEFFERIE</x:v>
      </x:c>
      <x:c r="D390" s="14" t="str">
        <x:v>Bayashi</x:v>
      </x:c>
      <x:c r="E390" s="14"/>
      <x:c r="F390" s="14"/>
      <x:c r="G390" s="14"/>
      <x:c r="H390" s="14"/>
      <x:c r="I390" s="14" t="n">
        <x:v>2018</x:v>
      </x:c>
      <x:c r="J390" s="14" t="str">
        <x:v>S06</x:v>
      </x:c>
      <x:c r="K390" s="14" t="str">
        <x:v>HISTORIQUE_CENI_2018_A_VALIDER</x:v>
      </x:c>
    </x:row>
    <x:row r="391">
      <x:c r="A391" s="14" t="n">
        <x:v>388</x:v>
      </x:c>
      <x:c r="B391" s="14" t="n">
        <x:v>116</x:v>
      </x:c>
      <x:c r="C391" s="14" t="str">
        <x:v>CHEFFERIE</x:v>
      </x:c>
      <x:c r="D391" s="14" t="str">
        <x:v>Bena-Nyembo</x:v>
      </x:c>
      <x:c r="E391" s="14"/>
      <x:c r="F391" s="14"/>
      <x:c r="G391" s="14"/>
      <x:c r="H391" s="14"/>
      <x:c r="I391" s="14" t="n">
        <x:v>2018</x:v>
      </x:c>
      <x:c r="J391" s="14" t="str">
        <x:v>S06</x:v>
      </x:c>
      <x:c r="K391" s="14" t="str">
        <x:v>HISTORIQUE_CENI_2018_A_VALIDER</x:v>
      </x:c>
    </x:row>
    <x:row r="392">
      <x:c r="A392" s="14" t="n">
        <x:v>389</x:v>
      </x:c>
      <x:c r="B392" s="14" t="n">
        <x:v>116</x:v>
      </x:c>
      <x:c r="C392" s="14" t="str">
        <x:v>CHEFFERIE</x:v>
      </x:c>
      <x:c r="D392" s="14" t="str">
        <x:v>Lubunda</x:v>
      </x:c>
      <x:c r="E392" s="14"/>
      <x:c r="F392" s="14"/>
      <x:c r="G392" s="14"/>
      <x:c r="H392" s="14"/>
      <x:c r="I392" s="14" t="n">
        <x:v>2018</x:v>
      </x:c>
      <x:c r="J392" s="14" t="str">
        <x:v>S06</x:v>
      </x:c>
      <x:c r="K392" s="14" t="str">
        <x:v>HISTORIQUE_CENI_2018_A_VALIDER</x:v>
      </x:c>
    </x:row>
    <x:row r="393">
      <x:c r="A393" s="14" t="n">
        <x:v>390</x:v>
      </x:c>
      <x:c r="B393" s="14" t="n">
        <x:v>116</x:v>
      </x:c>
      <x:c r="C393" s="14" t="str">
        <x:v>CHEFFERIE</x:v>
      </x:c>
      <x:c r="D393" s="14" t="str">
        <x:v>Mambwe</x:v>
      </x:c>
      <x:c r="E393" s="14"/>
      <x:c r="F393" s="14"/>
      <x:c r="G393" s="14"/>
      <x:c r="H393" s="14"/>
      <x:c r="I393" s="14" t="n">
        <x:v>2018</x:v>
      </x:c>
      <x:c r="J393" s="14" t="str">
        <x:v>S06</x:v>
      </x:c>
      <x:c r="K393" s="14" t="str">
        <x:v>HISTORIQUE_CENI_2018_A_VALIDER</x:v>
      </x:c>
    </x:row>
    <x:row r="394">
      <x:c r="A394" s="14" t="n">
        <x:v>391</x:v>
      </x:c>
      <x:c r="B394" s="14" t="n">
        <x:v>116</x:v>
      </x:c>
      <x:c r="C394" s="14" t="str">
        <x:v>CHEFFERIE</x:v>
      </x:c>
      <x:c r="D394" s="14" t="str">
        <x:v>Munono</x:v>
      </x:c>
      <x:c r="E394" s="14"/>
      <x:c r="F394" s="14"/>
      <x:c r="G394" s="14"/>
      <x:c r="H394" s="14"/>
      <x:c r="I394" s="14" t="n">
        <x:v>2018</x:v>
      </x:c>
      <x:c r="J394" s="14" t="str">
        <x:v>S06</x:v>
      </x:c>
      <x:c r="K394" s="14" t="str">
        <x:v>HISTORIQUE_CENI_2018_A_VALIDER</x:v>
      </x:c>
    </x:row>
    <x:row r="395">
      <x:c r="A395" s="14" t="n">
        <x:v>392</x:v>
      </x:c>
      <x:c r="B395" s="14" t="n">
        <x:v>116</x:v>
      </x:c>
      <x:c r="C395" s="14" t="str">
        <x:v>CHEFFERIE</x:v>
      </x:c>
      <x:c r="D395" s="14" t="str">
        <x:v>Nkuvu</x:v>
      </x:c>
      <x:c r="E395" s="14"/>
      <x:c r="F395" s="14"/>
      <x:c r="G395" s="14"/>
      <x:c r="H395" s="14"/>
      <x:c r="I395" s="14" t="n">
        <x:v>2018</x:v>
      </x:c>
      <x:c r="J395" s="14" t="str">
        <x:v>S06</x:v>
      </x:c>
      <x:c r="K395" s="14" t="str">
        <x:v>HISTORIQUE_CENI_2018_A_VALIDER</x:v>
      </x:c>
    </x:row>
    <x:row r="396">
      <x:c r="A396" s="14" t="n">
        <x:v>393</x:v>
      </x:c>
      <x:c r="B396" s="14" t="n">
        <x:v>116</x:v>
      </x:c>
      <x:c r="C396" s="14" t="str">
        <x:v>CHEFFERIE</x:v>
      </x:c>
      <x:c r="D396" s="14" t="str">
        <x:v>Yambula</x:v>
      </x:c>
      <x:c r="E396" s="14"/>
      <x:c r="F396" s="14"/>
      <x:c r="G396" s="14"/>
      <x:c r="H396" s="14"/>
      <x:c r="I396" s="14" t="n">
        <x:v>2018</x:v>
      </x:c>
      <x:c r="J396" s="14" t="str">
        <x:v>S06</x:v>
      </x:c>
      <x:c r="K396" s="14" t="str">
        <x:v>HISTORIQUE_CENI_2018_A_VALIDER</x:v>
      </x:c>
    </x:row>
    <x:row r="397">
      <x:c r="A397" s="14" t="n">
        <x:v>394</x:v>
      </x:c>
      <x:c r="B397" s="14" t="n">
        <x:v>38</x:v>
      </x:c>
      <x:c r="C397" s="14" t="str">
        <x:v>SECTEUR</x:v>
      </x:c>
      <x:c r="D397" s="14" t="str">
        <x:v>Bomboma</x:v>
      </x:c>
      <x:c r="E397" s="14"/>
      <x:c r="F397" s="14"/>
      <x:c r="G397" s="14"/>
      <x:c r="H397" s="14"/>
      <x:c r="I397" s="14" t="n">
        <x:v>2018</x:v>
      </x:c>
      <x:c r="J397" s="14" t="str">
        <x:v>S06</x:v>
      </x:c>
      <x:c r="K397" s="14" t="str">
        <x:v>HISTORIQUE_CENI_2018_A_VALIDER</x:v>
      </x:c>
    </x:row>
    <x:row r="398">
      <x:c r="A398" s="14" t="n">
        <x:v>395</x:v>
      </x:c>
      <x:c r="B398" s="14" t="n">
        <x:v>38</x:v>
      </x:c>
      <x:c r="C398" s="14" t="str">
        <x:v>SECTEUR</x:v>
      </x:c>
      <x:c r="D398" s="14" t="str">
        <x:v>Dongo</x:v>
      </x:c>
      <x:c r="E398" s="14"/>
      <x:c r="F398" s="14"/>
      <x:c r="G398" s="14"/>
      <x:c r="H398" s="14"/>
      <x:c r="I398" s="14" t="n">
        <x:v>2018</x:v>
      </x:c>
      <x:c r="J398" s="14" t="str">
        <x:v>S06</x:v>
      </x:c>
      <x:c r="K398" s="14" t="str">
        <x:v>HISTORIQUE_CENI_2018_A_VALIDER</x:v>
      </x:c>
    </x:row>
    <x:row r="399">
      <x:c r="A399" s="14" t="n">
        <x:v>396</x:v>
      </x:c>
      <x:c r="B399" s="14" t="n">
        <x:v>38</x:v>
      </x:c>
      <x:c r="C399" s="14" t="str">
        <x:v>SECTEUR</x:v>
      </x:c>
      <x:c r="D399" s="14" t="str">
        <x:v>Lua</x:v>
      </x:c>
      <x:c r="E399" s="14"/>
      <x:c r="F399" s="14"/>
      <x:c r="G399" s="14"/>
      <x:c r="H399" s="14"/>
      <x:c r="I399" s="14" t="n">
        <x:v>2018</x:v>
      </x:c>
      <x:c r="J399" s="14" t="str">
        <x:v>S06</x:v>
      </x:c>
      <x:c r="K399" s="14" t="str">
        <x:v>HISTORIQUE_CENI_2018_A_VALIDER</x:v>
      </x:c>
    </x:row>
    <x:row r="400">
      <x:c r="A400" s="14" t="n">
        <x:v>397</x:v>
      </x:c>
      <x:c r="B400" s="14" t="n">
        <x:v>38</x:v>
      </x:c>
      <x:c r="C400" s="14" t="str">
        <x:v>SECTEUR</x:v>
      </x:c>
      <x:c r="D400" s="14" t="str">
        <x:v>Mwanda</x:v>
      </x:c>
      <x:c r="E400" s="14"/>
      <x:c r="F400" s="14"/>
      <x:c r="G400" s="14"/>
      <x:c r="H400" s="14"/>
      <x:c r="I400" s="14" t="n">
        <x:v>2018</x:v>
      </x:c>
      <x:c r="J400" s="14" t="str">
        <x:v>S06</x:v>
      </x:c>
      <x:c r="K400" s="14" t="str">
        <x:v>HISTORIQUE_CENI_2018_A_VALIDER</x:v>
      </x:c>
    </x:row>
    <x:row r="401">
      <x:c r="A401" s="14" t="n">
        <x:v>398</x:v>
      </x:c>
      <x:c r="B401" s="14" t="n">
        <x:v>38</x:v>
      </x:c>
      <x:c r="C401" s="14" t="str">
        <x:v>SECTEUR</x:v>
      </x:c>
      <x:c r="D401" s="14" t="str">
        <x:v>Songo</x:v>
      </x:c>
      <x:c r="E401" s="14"/>
      <x:c r="F401" s="14"/>
      <x:c r="G401" s="14"/>
      <x:c r="H401" s="14"/>
      <x:c r="I401" s="14" t="n">
        <x:v>2018</x:v>
      </x:c>
      <x:c r="J401" s="14" t="str">
        <x:v>S06</x:v>
      </x:c>
      <x:c r="K401" s="14" t="str">
        <x:v>HISTORIQUE_CENI_2018_A_VALIDER</x:v>
      </x:c>
    </x:row>
    <x:row r="402">
      <x:c r="A402" s="14" t="n">
        <x:v>399</x:v>
      </x:c>
      <x:c r="B402" s="14" t="n">
        <x:v>24</x:v>
      </x:c>
      <x:c r="C402" s="14" t="str">
        <x:v>CHEFFERIE</x:v>
      </x:c>
      <x:c r="D402" s="14" t="str">
        <x:v>Badia</x:v>
      </x:c>
      <x:c r="E402" s="14"/>
      <x:c r="F402" s="14"/>
      <x:c r="G402" s="14"/>
      <x:c r="H402" s="14"/>
      <x:c r="I402" s="14" t="n">
        <x:v>2018</x:v>
      </x:c>
      <x:c r="J402" s="14" t="str">
        <x:v>S06</x:v>
      </x:c>
      <x:c r="K402" s="14" t="str">
        <x:v>HISTORIQUE_CENI_2018_A_VALIDER</x:v>
      </x:c>
    </x:row>
    <x:row r="403">
      <x:c r="A403" s="14" t="n">
        <x:v>400</x:v>
      </x:c>
      <x:c r="B403" s="14" t="n">
        <x:v>24</x:v>
      </x:c>
      <x:c r="C403" s="14" t="str">
        <x:v>CHEFFERIE</x:v>
      </x:c>
      <x:c r="D403" s="14" t="str">
        <x:v>Batere</x:v>
      </x:c>
      <x:c r="E403" s="14"/>
      <x:c r="F403" s="14"/>
      <x:c r="G403" s="14"/>
      <x:c r="H403" s="14"/>
      <x:c r="I403" s="14" t="n">
        <x:v>2018</x:v>
      </x:c>
      <x:c r="J403" s="14" t="str">
        <x:v>S06</x:v>
      </x:c>
      <x:c r="K403" s="14" t="str">
        <x:v>HISTORIQUE_CENI_2018_A_VALIDER</x:v>
      </x:c>
    </x:row>
    <x:row r="404">
      <x:c r="A404" s="14" t="n">
        <x:v>401</x:v>
      </x:c>
      <x:c r="B404" s="14" t="n">
        <x:v>24</x:v>
      </x:c>
      <x:c r="C404" s="14" t="str">
        <x:v>SECTEUR</x:v>
      </x:c>
      <x:c r="D404" s="14" t="str">
        <x:v>Kemba</x:v>
      </x:c>
      <x:c r="E404" s="14"/>
      <x:c r="F404" s="14"/>
      <x:c r="G404" s="14"/>
      <x:c r="H404" s="14"/>
      <x:c r="I404" s="14" t="n">
        <x:v>2018</x:v>
      </x:c>
      <x:c r="J404" s="14" t="str">
        <x:v>S06</x:v>
      </x:c>
      <x:c r="K404" s="14" t="str">
        <x:v>HISTORIQUE_CENI_2018_A_VALIDER</x:v>
      </x:c>
    </x:row>
    <x:row r="405">
      <x:c r="A405" s="14" t="n">
        <x:v>402</x:v>
      </x:c>
      <x:c r="B405" s="14" t="n">
        <x:v>24</x:v>
      </x:c>
      <x:c r="C405" s="14" t="str">
        <x:v>SECTEUR</x:v>
      </x:c>
      <x:c r="D405" s="14" t="str">
        <x:v>Luabu</x:v>
      </x:c>
      <x:c r="E405" s="14"/>
      <x:c r="F405" s="14"/>
      <x:c r="G405" s="14"/>
      <x:c r="H405" s="14"/>
      <x:c r="I405" s="14" t="n">
        <x:v>2018</x:v>
      </x:c>
      <x:c r="J405" s="14" t="str">
        <x:v>S06</x:v>
      </x:c>
      <x:c r="K405" s="14" t="str">
        <x:v>HISTORIQUE_CENI_2018_A_VALIDER</x:v>
      </x:c>
    </x:row>
    <x:row r="406">
      <x:c r="A406" s="14" t="n">
        <x:v>403</x:v>
      </x:c>
      <x:c r="B406" s="14" t="n">
        <x:v>24</x:v>
      </x:c>
      <x:c r="C406" s="14" t="str">
        <x:v>SECTEUR</x:v>
      </x:c>
      <x:c r="D406" s="14" t="str">
        <x:v>Mfimi</x:v>
      </x:c>
      <x:c r="E406" s="14"/>
      <x:c r="F406" s="14"/>
      <x:c r="G406" s="14"/>
      <x:c r="H406" s="14"/>
      <x:c r="I406" s="14" t="n">
        <x:v>2018</x:v>
      </x:c>
      <x:c r="J406" s="14" t="str">
        <x:v>S06</x:v>
      </x:c>
      <x:c r="K406" s="14" t="str">
        <x:v>HISTORIQUE_CENI_2018_A_VALIDER</x:v>
      </x:c>
    </x:row>
    <x:row r="407">
      <x:c r="A407" s="14" t="n">
        <x:v>404</x:v>
      </x:c>
      <x:c r="B407" s="14" t="n">
        <x:v>25</x:v>
      </x:c>
      <x:c r="C407" s="14" t="str">
        <x:v>SECTEUR</x:v>
      </x:c>
      <x:c r="D407" s="14" t="str">
        <x:v>Bateke-Sud/TWA</x:v>
      </x:c>
      <x:c r="E407" s="14"/>
      <x:c r="F407" s="14"/>
      <x:c r="G407" s="14"/>
      <x:c r="H407" s="14"/>
      <x:c r="I407" s="14" t="n">
        <x:v>2018</x:v>
      </x:c>
      <x:c r="J407" s="14" t="str">
        <x:v>S06</x:v>
      </x:c>
      <x:c r="K407" s="14" t="str">
        <x:v>HISTORIQUE_CENI_2018_A_VALIDER</x:v>
      </x:c>
    </x:row>
    <x:row r="408">
      <x:c r="A408" s="14" t="n">
        <x:v>405</x:v>
      </x:c>
      <x:c r="B408" s="14" t="n">
        <x:v>122</x:v>
      </x:c>
      <x:c r="C408" s="14" t="str">
        <x:v>SECTEUR</x:v>
      </x:c>
      <x:c r="D408" s="14" t="str">
        <x:v>Bekalebwe</x:v>
      </x:c>
      <x:c r="E408" s="14"/>
      <x:c r="F408" s="14"/>
      <x:c r="G408" s="14"/>
      <x:c r="H408" s="14"/>
      <x:c r="I408" s="14" t="n">
        <x:v>2018</x:v>
      </x:c>
      <x:c r="J408" s="14" t="str">
        <x:v>S06</x:v>
      </x:c>
      <x:c r="K408" s="14" t="str">
        <x:v>HISTORIQUE_CENI_2018_A_VALIDER</x:v>
      </x:c>
    </x:row>
    <x:row r="409">
      <x:c r="A409" s="14" t="n">
        <x:v>406</x:v>
      </x:c>
      <x:c r="B409" s="14" t="n">
        <x:v>122</x:v>
      </x:c>
      <x:c r="C409" s="14" t="str">
        <x:v>SECTEUR</x:v>
      </x:c>
      <x:c r="D409" s="14" t="str">
        <x:v>Kisengwa</x:v>
      </x:c>
      <x:c r="E409" s="14"/>
      <x:c r="F409" s="14"/>
      <x:c r="G409" s="14"/>
      <x:c r="H409" s="14"/>
      <x:c r="I409" s="14" t="n">
        <x:v>2018</x:v>
      </x:c>
      <x:c r="J409" s="14" t="str">
        <x:v>S06</x:v>
      </x:c>
      <x:c r="K409" s="14" t="str">
        <x:v>HISTORIQUE_CENI_2018_A_VALIDER</x:v>
      </x:c>
    </x:row>
    <x:row r="410">
      <x:c r="A410" s="14" t="n">
        <x:v>407</x:v>
      </x:c>
      <x:c r="B410" s="14" t="n">
        <x:v>122</x:v>
      </x:c>
      <x:c r="C410" s="14" t="str">
        <x:v>SECTEUR</x:v>
      </x:c>
      <x:c r="D410" s="14" t="str">
        <x:v>Lubao</x:v>
      </x:c>
      <x:c r="E410" s="14"/>
      <x:c r="F410" s="14"/>
      <x:c r="G410" s="14"/>
      <x:c r="H410" s="14"/>
      <x:c r="I410" s="14" t="n">
        <x:v>2018</x:v>
      </x:c>
      <x:c r="J410" s="14" t="str">
        <x:v>S06</x:v>
      </x:c>
      <x:c r="K410" s="14" t="str">
        <x:v>HISTORIQUE_CENI_2018_A_VALIDER</x:v>
      </x:c>
    </x:row>
    <x:row r="411">
      <x:c r="A411" s="14" t="n">
        <x:v>408</x:v>
      </x:c>
      <x:c r="B411" s="14" t="n">
        <x:v>122</x:v>
      </x:c>
      <x:c r="C411" s="14" t="str">
        <x:v>SECTEUR</x:v>
      </x:c>
      <x:c r="D411" s="14" t="str">
        <x:v>Tshofa</x:v>
      </x:c>
      <x:c r="E411" s="14"/>
      <x:c r="F411" s="14"/>
      <x:c r="G411" s="14"/>
      <x:c r="H411" s="14"/>
      <x:c r="I411" s="14" t="n">
        <x:v>2018</x:v>
      </x:c>
      <x:c r="J411" s="14" t="str">
        <x:v>S06</x:v>
      </x:c>
      <x:c r="K411" s="14" t="str">
        <x:v>HISTORIQUE_CENI_2018_A_VALIDER</x:v>
      </x:c>
    </x:row>
    <x:row r="412">
      <x:c r="A412" s="14" t="n">
        <x:v>409</x:v>
      </x:c>
      <x:c r="B412" s="14" t="n">
        <x:v>39</x:v>
      </x:c>
      <x:c r="C412" s="14" t="str">
        <x:v>SECTEUR</x:v>
      </x:c>
      <x:c r="D412" s="14" t="str">
        <x:v>Libenge-Nord</x:v>
      </x:c>
      <x:c r="E412" s="14"/>
      <x:c r="F412" s="14"/>
      <x:c r="G412" s="14"/>
      <x:c r="H412" s="14"/>
      <x:c r="I412" s="14" t="n">
        <x:v>2018</x:v>
      </x:c>
      <x:c r="J412" s="14" t="str">
        <x:v>S06</x:v>
      </x:c>
      <x:c r="K412" s="14" t="str">
        <x:v>HISTORIQUE_CENI_2018_A_VALIDER</x:v>
      </x:c>
    </x:row>
    <x:row r="413">
      <x:c r="A413" s="14" t="n">
        <x:v>410</x:v>
      </x:c>
      <x:c r="B413" s="14" t="n">
        <x:v>39</x:v>
      </x:c>
      <x:c r="C413" s="14" t="str">
        <x:v>SECTEUR</x:v>
      </x:c>
      <x:c r="D413" s="14" t="str">
        <x:v>Libenge-Centre</x:v>
      </x:c>
      <x:c r="E413" s="14"/>
      <x:c r="F413" s="14"/>
      <x:c r="G413" s="14"/>
      <x:c r="H413" s="14"/>
      <x:c r="I413" s="14" t="n">
        <x:v>2018</x:v>
      </x:c>
      <x:c r="J413" s="14" t="str">
        <x:v>S06</x:v>
      </x:c>
      <x:c r="K413" s="14" t="str">
        <x:v>HISTORIQUE_CENI_2018_A_VALIDER</x:v>
      </x:c>
    </x:row>
    <x:row r="414">
      <x:c r="A414" s="14" t="n">
        <x:v>411</x:v>
      </x:c>
      <x:c r="B414" s="14" t="n">
        <x:v>39</x:v>
      </x:c>
      <x:c r="C414" s="14" t="str">
        <x:v>SECTEUR</x:v>
      </x:c>
      <x:c r="D414" s="14" t="str">
        <x:v>Libenge-Sud</x:v>
      </x:c>
      <x:c r="E414" s="14"/>
      <x:c r="F414" s="14"/>
      <x:c r="G414" s="14"/>
      <x:c r="H414" s="14"/>
      <x:c r="I414" s="14" t="n">
        <x:v>2018</x:v>
      </x:c>
      <x:c r="J414" s="14" t="str">
        <x:v>S06</x:v>
      </x:c>
      <x:c r="K414" s="14" t="str">
        <x:v>HISTORIQUE_CENI_2018_A_VALIDER</x:v>
      </x:c>
    </x:row>
    <x:row r="415">
      <x:c r="A415" s="14" t="n">
        <x:v>412</x:v>
      </x:c>
      <x:c r="B415" s="14" t="n">
        <x:v>46</x:v>
      </x:c>
      <x:c r="C415" s="14" t="str">
        <x:v>SECTEUR</x:v>
      </x:c>
      <x:c r="D415" s="14" t="str">
        <x:v>Mongala-Motima</x:v>
      </x:c>
      <x:c r="E415" s="14"/>
      <x:c r="F415" s="14"/>
      <x:c r="G415" s="14"/>
      <x:c r="H415" s="14"/>
      <x:c r="I415" s="14" t="n">
        <x:v>2018</x:v>
      </x:c>
      <x:c r="J415" s="14" t="str">
        <x:v>S06</x:v>
      </x:c>
      <x:c r="K415" s="14" t="str">
        <x:v>HISTORIQUE_CENI_2018_A_VALIDER</x:v>
      </x:c>
    </x:row>
    <x:row r="416">
      <x:c r="A416" s="14" t="n">
        <x:v>413</x:v>
      </x:c>
      <x:c r="B416" s="14" t="n">
        <x:v>46</x:v>
      </x:c>
      <x:c r="C416" s="14" t="str">
        <x:v>SECTEUR</x:v>
      </x:c>
      <x:c r="D416" s="14" t="str">
        <x:v>Ngombe-Doko</x:v>
      </x:c>
      <x:c r="E416" s="14"/>
      <x:c r="F416" s="14"/>
      <x:c r="G416" s="14"/>
      <x:c r="H416" s="14"/>
      <x:c r="I416" s="14" t="n">
        <x:v>2018</x:v>
      </x:c>
      <x:c r="J416" s="14" t="str">
        <x:v>S06</x:v>
      </x:c>
      <x:c r="K416" s="14" t="str">
        <x:v>HISTORIQUE_CENI_2018_A_VALIDER</x:v>
      </x:c>
    </x:row>
    <x:row r="417">
      <x:c r="A417" s="14" t="n">
        <x:v>414</x:v>
      </x:c>
      <x:c r="B417" s="14" t="n">
        <x:v>46</x:v>
      </x:c>
      <x:c r="C417" s="14" t="str">
        <x:v>SECTEUR</x:v>
      </x:c>
      <x:c r="D417" s="14" t="str">
        <x:v>Ngombe-Mombangi</x:v>
      </x:c>
      <x:c r="E417" s="14"/>
      <x:c r="F417" s="14"/>
      <x:c r="G417" s="14"/>
      <x:c r="H417" s="14"/>
      <x:c r="I417" s="14" t="n">
        <x:v>2018</x:v>
      </x:c>
      <x:c r="J417" s="14" t="str">
        <x:v>S06</x:v>
      </x:c>
      <x:c r="K417" s="14" t="str">
        <x:v>HISTORIQUE_CENI_2018_A_VALIDER</x:v>
      </x:c>
    </x:row>
    <x:row r="418">
      <x:c r="A418" s="14" t="n">
        <x:v>415</x:v>
      </x:c>
      <x:c r="B418" s="14" t="n">
        <x:v>132</x:v>
      </x:c>
      <x:c r="C418" s="14" t="str">
        <x:v>SECTEUR</x:v>
      </x:c>
      <x:c r="D418" s="14" t="str">
        <x:v>Ahamba-Mange</x:v>
      </x:c>
      <x:c r="E418" s="14"/>
      <x:c r="F418" s="14"/>
      <x:c r="G418" s="14"/>
      <x:c r="H418" s="14"/>
      <x:c r="I418" s="14" t="n">
        <x:v>2018</x:v>
      </x:c>
      <x:c r="J418" s="14" t="str">
        <x:v>S06</x:v>
      </x:c>
      <x:c r="K418" s="14" t="str">
        <x:v>HISTORIQUE_CENI_2018_A_VALIDER</x:v>
      </x:c>
    </x:row>
    <x:row r="419">
      <x:c r="A419" s="14" t="n">
        <x:v>416</x:v>
      </x:c>
      <x:c r="B419" s="14" t="n">
        <x:v>132</x:v>
      </x:c>
      <x:c r="C419" s="14" t="str">
        <x:v>SECTEUR</x:v>
      </x:c>
      <x:c r="D419" s="14" t="str">
        <x:v>Batetela Lukenie</x:v>
      </x:c>
      <x:c r="E419" s="14"/>
      <x:c r="F419" s="14"/>
      <x:c r="G419" s="14"/>
      <x:c r="H419" s="14"/>
      <x:c r="I419" s="14" t="n">
        <x:v>2018</x:v>
      </x:c>
      <x:c r="J419" s="14" t="str">
        <x:v>S06</x:v>
      </x:c>
      <x:c r="K419" s="14" t="str">
        <x:v>HISTORIQUE_CENI_2018_A_VALIDER</x:v>
      </x:c>
    </x:row>
    <x:row r="420">
      <x:c r="A420" s="14" t="n">
        <x:v>417</x:v>
      </x:c>
      <x:c r="B420" s="14" t="n">
        <x:v>132</x:v>
      </x:c>
      <x:c r="C420" s="14" t="str">
        <x:v>SECTEUR</x:v>
      </x:c>
      <x:c r="D420" s="14" t="str">
        <x:v>Kondo-Tshumbe</x:v>
      </x:c>
      <x:c r="E420" s="14"/>
      <x:c r="F420" s="14"/>
      <x:c r="G420" s="14"/>
      <x:c r="H420" s="14"/>
      <x:c r="I420" s="14" t="n">
        <x:v>2018</x:v>
      </x:c>
      <x:c r="J420" s="14" t="str">
        <x:v>S06</x:v>
      </x:c>
      <x:c r="K420" s="14" t="str">
        <x:v>HISTORIQUE_CENI_2018_A_VALIDER</x:v>
      </x:c>
    </x:row>
    <x:row r="421">
      <x:c r="A421" s="14" t="n">
        <x:v>418</x:v>
      </x:c>
      <x:c r="B421" s="14" t="n">
        <x:v>132</x:v>
      </x:c>
      <x:c r="C421" s="14" t="str">
        <x:v>SECTEUR</x:v>
      </x:c>
      <x:c r="D421" s="14" t="str">
        <x:v>Lutshimba</x:v>
      </x:c>
      <x:c r="E421" s="14"/>
      <x:c r="F421" s="14"/>
      <x:c r="G421" s="14"/>
      <x:c r="H421" s="14"/>
      <x:c r="I421" s="14" t="n">
        <x:v>2018</x:v>
      </x:c>
      <x:c r="J421" s="14" t="str">
        <x:v>S06</x:v>
      </x:c>
      <x:c r="K421" s="14" t="str">
        <x:v>HISTORIQUE_CENI_2018_A_VALIDER</x:v>
      </x:c>
    </x:row>
    <x:row r="422">
      <x:c r="A422" s="14" t="n">
        <x:v>419</x:v>
      </x:c>
      <x:c r="B422" s="14" t="n">
        <x:v>132</x:v>
      </x:c>
      <x:c r="C422" s="14" t="str">
        <x:v>SECTEUR</x:v>
      </x:c>
      <x:c r="D422" s="14" t="str">
        <x:v>Lukfungu</x:v>
      </x:c>
      <x:c r="E422" s="14"/>
      <x:c r="F422" s="14"/>
      <x:c r="G422" s="14"/>
      <x:c r="H422" s="14"/>
      <x:c r="I422" s="14" t="n">
        <x:v>2018</x:v>
      </x:c>
      <x:c r="J422" s="14" t="str">
        <x:v>S06</x:v>
      </x:c>
      <x:c r="K422" s="14" t="str">
        <x:v>HISTORIQUE_CENI_2018_A_VALIDER</x:v>
      </x:c>
    </x:row>
    <x:row r="423">
      <x:c r="A423" s="14" t="n">
        <x:v>420</x:v>
      </x:c>
      <x:c r="B423" s="14" t="n">
        <x:v>132</x:v>
      </x:c>
      <x:c r="C423" s="14" t="str">
        <x:v>SECTEUR</x:v>
      </x:c>
      <x:c r="D423" s="14" t="str">
        <x:v>Nambelu-Luhembe</x:v>
      </x:c>
      <x:c r="E423" s="14"/>
      <x:c r="F423" s="14"/>
      <x:c r="G423" s="14"/>
      <x:c r="H423" s="14"/>
      <x:c r="I423" s="14" t="n">
        <x:v>2018</x:v>
      </x:c>
      <x:c r="J423" s="14" t="str">
        <x:v>S06</x:v>
      </x:c>
      <x:c r="K423" s="14" t="str">
        <x:v>HISTORIQUE_CENI_2018_A_VALIDER</x:v>
      </x:c>
    </x:row>
    <x:row r="424">
      <x:c r="A424" s="14" t="n">
        <x:v>421</x:v>
      </x:c>
      <x:c r="B424" s="14" t="n">
        <x:v>132</x:v>
      </x:c>
      <x:c r="C424" s="14" t="str">
        <x:v>SECTEUR</x:v>
      </x:c>
      <x:c r="D424" s="14" t="str">
        <x:v>Olemba</x:v>
      </x:c>
      <x:c r="E424" s="14"/>
      <x:c r="F424" s="14"/>
      <x:c r="G424" s="14"/>
      <x:c r="H424" s="14"/>
      <x:c r="I424" s="14" t="n">
        <x:v>2018</x:v>
      </x:c>
      <x:c r="J424" s="14" t="str">
        <x:v>S06</x:v>
      </x:c>
      <x:c r="K424" s="14" t="str">
        <x:v>HISTORIQUE_CENI_2018_A_VALIDER</x:v>
      </x:c>
    </x:row>
    <x:row r="425">
      <x:c r="A425" s="14" t="n">
        <x:v>422</x:v>
      </x:c>
      <x:c r="B425" s="14" t="n">
        <x:v>132</x:v>
      </x:c>
      <x:c r="C425" s="14" t="str">
        <x:v>SECTEUR</x:v>
      </x:c>
      <x:c r="D425" s="14" t="str">
        <x:v>Vungi</x:v>
      </x:c>
      <x:c r="E425" s="14"/>
      <x:c r="F425" s="14"/>
      <x:c r="G425" s="14"/>
      <x:c r="H425" s="14"/>
      <x:c r="I425" s="14" t="n">
        <x:v>2018</x:v>
      </x:c>
      <x:c r="J425" s="14" t="str">
        <x:v>S06</x:v>
      </x:c>
      <x:c r="K425" s="14" t="str">
        <x:v>HISTORIQUE_CENI_2018_A_VALIDER</x:v>
      </x:c>
    </x:row>
    <x:row r="426">
      <x:c r="A426" s="14" t="n">
        <x:v>423</x:v>
      </x:c>
      <x:c r="B426" s="14" t="n">
        <x:v>132</x:v>
      </x:c>
      <x:c r="C426" s="14" t="str">
        <x:v>SECTEUR</x:v>
      </x:c>
      <x:c r="D426" s="14" t="str">
        <x:v>Watambulu</x:v>
      </x:c>
      <x:c r="E426" s="14"/>
      <x:c r="F426" s="14"/>
      <x:c r="G426" s="14"/>
      <x:c r="H426" s="14"/>
      <x:c r="I426" s="14" t="n">
        <x:v>2018</x:v>
      </x:c>
      <x:c r="J426" s="14" t="str">
        <x:v>S06</x:v>
      </x:c>
      <x:c r="K426" s="14" t="str">
        <x:v>HISTORIQUE_CENI_2018_A_VALIDER</x:v>
      </x:c>
    </x:row>
    <x:row r="427">
      <x:c r="A427" s="14" t="n">
        <x:v>424</x:v>
      </x:c>
      <x:c r="B427" s="14" t="n">
        <x:v>133</x:v>
      </x:c>
      <x:c r="C427" s="14" t="str">
        <x:v>SECTEUR</x:v>
      </x:c>
      <x:c r="D427" s="14" t="str">
        <x:v>Bahamba I</x:v>
      </x:c>
      <x:c r="E427" s="14"/>
      <x:c r="F427" s="14"/>
      <x:c r="G427" s="14"/>
      <x:c r="H427" s="14"/>
      <x:c r="I427" s="14" t="n">
        <x:v>2018</x:v>
      </x:c>
      <x:c r="J427" s="14" t="str">
        <x:v>S06</x:v>
      </x:c>
      <x:c r="K427" s="14" t="str">
        <x:v>HISTORIQUE_CENI_2018_A_VALIDER</x:v>
      </x:c>
    </x:row>
    <x:row r="428">
      <x:c r="A428" s="14" t="n">
        <x:v>425</x:v>
      </x:c>
      <x:c r="B428" s="14" t="n">
        <x:v>133</x:v>
      </x:c>
      <x:c r="C428" s="14" t="str">
        <x:v>SECTEUR</x:v>
      </x:c>
      <x:c r="D428" s="14" t="str">
        <x:v>Bahamba II</x:v>
      </x:c>
      <x:c r="E428" s="14"/>
      <x:c r="F428" s="14"/>
      <x:c r="G428" s="14"/>
      <x:c r="H428" s="14"/>
      <x:c r="I428" s="14" t="n">
        <x:v>2018</x:v>
      </x:c>
      <x:c r="J428" s="14" t="str">
        <x:v>S06</x:v>
      </x:c>
      <x:c r="K428" s="14" t="str">
        <x:v>HISTORIQUE_CENI_2018_A_VALIDER</x:v>
      </x:c>
    </x:row>
    <x:row r="429">
      <x:c r="A429" s="14" t="n">
        <x:v>426</x:v>
      </x:c>
      <x:c r="B429" s="14" t="n">
        <x:v>133</x:v>
      </x:c>
      <x:c r="C429" s="14" t="str">
        <x:v>SECTEUR</x:v>
      </x:c>
      <x:c r="D429" s="14" t="str">
        <x:v>Bakela</x:v>
      </x:c>
      <x:c r="E429" s="14"/>
      <x:c r="F429" s="14"/>
      <x:c r="G429" s="14"/>
      <x:c r="H429" s="14"/>
      <x:c r="I429" s="14" t="n">
        <x:v>2018</x:v>
      </x:c>
      <x:c r="J429" s="14" t="str">
        <x:v>S06</x:v>
      </x:c>
      <x:c r="K429" s="14" t="str">
        <x:v>HISTORIQUE_CENI_2018_A_VALIDER</x:v>
      </x:c>
    </x:row>
    <x:row r="430">
      <x:c r="A430" s="14" t="n">
        <x:v>427</x:v>
      </x:c>
      <x:c r="B430" s="14" t="n">
        <x:v>133</x:v>
      </x:c>
      <x:c r="C430" s="14" t="str">
        <x:v>SECTEUR</x:v>
      </x:c>
      <x:c r="D430" s="14" t="str">
        <x:v>Batetela-Lomela</x:v>
      </x:c>
      <x:c r="E430" s="14"/>
      <x:c r="F430" s="14"/>
      <x:c r="G430" s="14"/>
      <x:c r="H430" s="14"/>
      <x:c r="I430" s="14" t="n">
        <x:v>2018</x:v>
      </x:c>
      <x:c r="J430" s="14" t="str">
        <x:v>S06</x:v>
      </x:c>
      <x:c r="K430" s="14" t="str">
        <x:v>HISTORIQUE_CENI_2018_A_VALIDER</x:v>
      </x:c>
    </x:row>
    <x:row r="431">
      <x:c r="A431" s="14" t="n">
        <x:v>428</x:v>
      </x:c>
      <x:c r="B431" s="14" t="n">
        <x:v>133</x:v>
      </x:c>
      <x:c r="C431" s="14" t="str">
        <x:v>CHEFFERIE</x:v>
      </x:c>
      <x:c r="D431" s="14" t="str">
        <x:v>Djonga</x:v>
      </x:c>
      <x:c r="E431" s="14"/>
      <x:c r="F431" s="14"/>
      <x:c r="G431" s="14"/>
      <x:c r="H431" s="14"/>
      <x:c r="I431" s="14" t="n">
        <x:v>2018</x:v>
      </x:c>
      <x:c r="J431" s="14" t="str">
        <x:v>S06</x:v>
      </x:c>
      <x:c r="K431" s="14" t="str">
        <x:v>HISTORIQUE_CENI_2018_A_VALIDER</x:v>
      </x:c>
    </x:row>
    <x:row r="432">
      <x:c r="A432" s="14" t="n">
        <x:v>429</x:v>
      </x:c>
      <x:c r="B432" s="14" t="n">
        <x:v>133</x:v>
      </x:c>
      <x:c r="C432" s="14" t="str">
        <x:v>SECTEUR</x:v>
      </x:c>
      <x:c r="D432" s="14" t="str">
        <x:v>Okutu</x:v>
      </x:c>
      <x:c r="E432" s="14"/>
      <x:c r="F432" s="14"/>
      <x:c r="G432" s="14"/>
      <x:c r="H432" s="14"/>
      <x:c r="I432" s="14" t="n">
        <x:v>2018</x:v>
      </x:c>
      <x:c r="J432" s="14" t="str">
        <x:v>S06</x:v>
      </x:c>
      <x:c r="K432" s="14" t="str">
        <x:v>HISTORIQUE_CENI_2018_A_VALIDER</x:v>
      </x:c>
    </x:row>
    <x:row r="433">
      <x:c r="A433" s="14" t="n">
        <x:v>430</x:v>
      </x:c>
      <x:c r="B433" s="14" t="n">
        <x:v>134</x:v>
      </x:c>
      <x:c r="C433" s="14" t="str">
        <x:v>SECTEUR</x:v>
      </x:c>
      <x:c r="D433" s="14" t="str">
        <x:v>Basonge</x:v>
      </x:c>
      <x:c r="E433" s="14"/>
      <x:c r="F433" s="14"/>
      <x:c r="G433" s="14"/>
      <x:c r="H433" s="14"/>
      <x:c r="I433" s="14" t="n">
        <x:v>2018</x:v>
      </x:c>
      <x:c r="J433" s="14" t="str">
        <x:v>S06</x:v>
      </x:c>
      <x:c r="K433" s="14" t="str">
        <x:v>HISTORIQUE_CENI_2018_A_VALIDER</x:v>
      </x:c>
    </x:row>
    <x:row r="434">
      <x:c r="A434" s="14" t="n">
        <x:v>431</x:v>
      </x:c>
      <x:c r="B434" s="14" t="n">
        <x:v>134</x:v>
      </x:c>
      <x:c r="C434" s="14" t="str">
        <x:v>SECTEUR</x:v>
      </x:c>
      <x:c r="D434" s="14" t="str">
        <x:v>Mondja-Ngandu</x:v>
      </x:c>
      <x:c r="E434" s="14"/>
      <x:c r="F434" s="14"/>
      <x:c r="G434" s="14"/>
      <x:c r="H434" s="14"/>
      <x:c r="I434" s="14" t="n">
        <x:v>2018</x:v>
      </x:c>
      <x:c r="J434" s="14" t="str">
        <x:v>S06</x:v>
      </x:c>
      <x:c r="K434" s="14" t="str">
        <x:v>HISTORIQUE_CENI_2018_A_VALIDER</x:v>
      </x:c>
    </x:row>
    <x:row r="435">
      <x:c r="A435" s="14" t="n">
        <x:v>432</x:v>
      </x:c>
      <x:c r="B435" s="14" t="n">
        <x:v>134</x:v>
      </x:c>
      <x:c r="C435" s="14" t="str">
        <x:v>SECTEUR</x:v>
      </x:c>
      <x:c r="D435" s="14" t="str">
        <x:v>Ndjovu</x:v>
      </x:c>
      <x:c r="E435" s="14"/>
      <x:c r="F435" s="14"/>
      <x:c r="G435" s="14"/>
      <x:c r="H435" s="14"/>
      <x:c r="I435" s="14" t="n">
        <x:v>2018</x:v>
      </x:c>
      <x:c r="J435" s="14" t="str">
        <x:v>S06</x:v>
      </x:c>
      <x:c r="K435" s="14" t="str">
        <x:v>HISTORIQUE_CENI_2018_A_VALIDER</x:v>
      </x:c>
    </x:row>
    <x:row r="436">
      <x:c r="A436" s="14" t="n">
        <x:v>433</x:v>
      </x:c>
      <x:c r="B436" s="14" t="n">
        <x:v>134</x:v>
      </x:c>
      <x:c r="C436" s="14" t="str">
        <x:v>SECTEUR</x:v>
      </x:c>
      <x:c r="D436" s="14" t="str">
        <x:v>Ngandu-Wuna</x:v>
      </x:c>
      <x:c r="E436" s="14"/>
      <x:c r="F436" s="14"/>
      <x:c r="G436" s="14"/>
      <x:c r="H436" s="14"/>
      <x:c r="I436" s="14" t="n">
        <x:v>2018</x:v>
      </x:c>
      <x:c r="J436" s="14" t="str">
        <x:v>S06</x:v>
      </x:c>
      <x:c r="K436" s="14" t="str">
        <x:v>HISTORIQUE_CENI_2018_A_VALIDER</x:v>
      </x:c>
    </x:row>
    <x:row r="437">
      <x:c r="A437" s="14" t="n">
        <x:v>434</x:v>
      </x:c>
      <x:c r="B437" s="14" t="n">
        <x:v>78</x:v>
      </x:c>
      <x:c r="C437" s="14" t="str">
        <x:v>CHEFFERIE</x:v>
      </x:c>
      <x:c r="D437" s="14" t="str">
        <x:v>Bamate</x:v>
      </x:c>
      <x:c r="E437" s="14"/>
      <x:c r="F437" s="14"/>
      <x:c r="G437" s="14"/>
      <x:c r="H437" s="14"/>
      <x:c r="I437" s="14" t="n">
        <x:v>2018</x:v>
      </x:c>
      <x:c r="J437" s="14" t="str">
        <x:v>S06</x:v>
      </x:c>
      <x:c r="K437" s="14" t="str">
        <x:v>HISTORIQUE_CENI_2018_A_VALIDER</x:v>
      </x:c>
    </x:row>
    <x:row r="438">
      <x:c r="A438" s="14" t="n">
        <x:v>435</x:v>
      </x:c>
      <x:c r="B438" s="14" t="n">
        <x:v>78</x:v>
      </x:c>
      <x:c r="C438" s="14" t="str">
        <x:v>SECTEUR</x:v>
      </x:c>
      <x:c r="D438" s="14" t="str">
        <x:v>Bapere</x:v>
      </x:c>
      <x:c r="E438" s="14"/>
      <x:c r="F438" s="14"/>
      <x:c r="G438" s="14"/>
      <x:c r="H438" s="14"/>
      <x:c r="I438" s="14" t="n">
        <x:v>2018</x:v>
      </x:c>
      <x:c r="J438" s="14" t="str">
        <x:v>S06</x:v>
      </x:c>
      <x:c r="K438" s="14" t="str">
        <x:v>HISTORIQUE_CENI_2018_A_VALIDER</x:v>
      </x:c>
    </x:row>
    <x:row r="439">
      <x:c r="A439" s="14" t="n">
        <x:v>436</x:v>
      </x:c>
      <x:c r="B439" s="14" t="n">
        <x:v>78</x:v>
      </x:c>
      <x:c r="C439" s="14" t="str">
        <x:v>CHEFFERIE</x:v>
      </x:c>
      <x:c r="D439" s="14" t="str">
        <x:v>Baswaga</x:v>
      </x:c>
      <x:c r="E439" s="14"/>
      <x:c r="F439" s="14"/>
      <x:c r="G439" s="14"/>
      <x:c r="H439" s="14"/>
      <x:c r="I439" s="14" t="n">
        <x:v>2018</x:v>
      </x:c>
      <x:c r="J439" s="14" t="str">
        <x:v>S06</x:v>
      </x:c>
      <x:c r="K439" s="14" t="str">
        <x:v>HISTORIQUE_CENI_2018_A_VALIDER</x:v>
      </x:c>
    </x:row>
    <x:row r="440">
      <x:c r="A440" s="14" t="n">
        <x:v>437</x:v>
      </x:c>
      <x:c r="B440" s="14" t="n">
        <x:v>78</x:v>
      </x:c>
      <x:c r="C440" s="14" t="str">
        <x:v>CHEFFERIE</x:v>
      </x:c>
      <x:c r="D440" s="14" t="str">
        <x:v>Batangi</x:v>
      </x:c>
      <x:c r="E440" s="14"/>
      <x:c r="F440" s="14"/>
      <x:c r="G440" s="14"/>
      <x:c r="H440" s="14"/>
      <x:c r="I440" s="14" t="n">
        <x:v>2018</x:v>
      </x:c>
      <x:c r="J440" s="14" t="str">
        <x:v>S06</x:v>
      </x:c>
      <x:c r="K440" s="14" t="str">
        <x:v>HISTORIQUE_CENI_2018_A_VALIDER</x:v>
      </x:c>
    </x:row>
    <x:row r="441">
      <x:c r="A441" s="14" t="n">
        <x:v>438</x:v>
      </x:c>
      <x:c r="B441" s="14" t="n">
        <x:v>106</x:v>
      </x:c>
      <x:c r="C441" s="14" t="str">
        <x:v>CHEFFERIE</x:v>
      </x:c>
      <x:c r="D441" s="14" t="str">
        <x:v>Bayeke</x:v>
      </x:c>
      <x:c r="E441" s="14"/>
      <x:c r="F441" s="14"/>
      <x:c r="G441" s="14"/>
      <x:c r="H441" s="14"/>
      <x:c r="I441" s="14" t="n">
        <x:v>2018</x:v>
      </x:c>
      <x:c r="J441" s="14" t="str">
        <x:v>S06</x:v>
      </x:c>
      <x:c r="K441" s="14" t="str">
        <x:v>HISTORIQUE_CENI_2018_A_VALIDER</x:v>
      </x:c>
    </x:row>
    <x:row r="442">
      <x:c r="A442" s="14" t="n">
        <x:v>439</x:v>
      </x:c>
      <x:c r="B442" s="14" t="n">
        <x:v>106</x:v>
      </x:c>
      <x:c r="C442" s="14" t="str">
        <x:v>CHEFFERIE</x:v>
      </x:c>
      <x:c r="D442" s="14" t="str">
        <x:v>Mazangule</x:v>
      </x:c>
      <x:c r="E442" s="14"/>
      <x:c r="F442" s="14"/>
      <x:c r="G442" s="14"/>
      <x:c r="H442" s="14"/>
      <x:c r="I442" s="14" t="n">
        <x:v>2018</x:v>
      </x:c>
      <x:c r="J442" s="14" t="str">
        <x:v>S06</x:v>
      </x:c>
      <x:c r="K442" s="14" t="str">
        <x:v>HISTORIQUE_CENI_2018_A_VALIDER</x:v>
      </x:c>
    </x:row>
    <x:row r="443">
      <x:c r="A443" s="14" t="n">
        <x:v>440</x:v>
      </x:c>
      <x:c r="B443" s="14" t="n">
        <x:v>106</x:v>
      </x:c>
      <x:c r="C443" s="14" t="str">
        <x:v>CHEFFERIE</x:v>
      </x:c>
      <x:c r="D443" s="14" t="str">
        <x:v>Mulumbu</x:v>
      </x:c>
      <x:c r="E443" s="14"/>
      <x:c r="F443" s="14"/>
      <x:c r="G443" s="14"/>
      <x:c r="H443" s="14"/>
      <x:c r="I443" s="14" t="n">
        <x:v>2018</x:v>
      </x:c>
      <x:c r="J443" s="14" t="str">
        <x:v>S06</x:v>
      </x:c>
      <x:c r="K443" s="14" t="str">
        <x:v>HISTORIQUE_CENI_2018_A_VALIDER</x:v>
      </x:c>
    </x:row>
    <x:row r="444">
      <x:c r="A444" s="14" t="n">
        <x:v>441</x:v>
      </x:c>
      <x:c r="B444" s="14" t="n">
        <x:v>106</x:v>
      </x:c>
      <x:c r="C444" s="14" t="str">
        <x:v>CHEFFERIE</x:v>
      </x:c>
      <x:c r="D444" s="14" t="str">
        <x:v>Mwana-Muadi</x:v>
      </x:c>
      <x:c r="E444" s="14"/>
      <x:c r="F444" s="14"/>
      <x:c r="G444" s="14"/>
      <x:c r="H444" s="14"/>
      <x:c r="I444" s="14" t="n">
        <x:v>2018</x:v>
      </x:c>
      <x:c r="J444" s="14" t="str">
        <x:v>S06</x:v>
      </x:c>
      <x:c r="K444" s="14" t="str">
        <x:v>HISTORIQUE_CENI_2018_A_VALIDER</x:v>
      </x:c>
    </x:row>
    <x:row r="445">
      <x:c r="A445" s="14" t="n">
        <x:v>442</x:v>
      </x:c>
      <x:c r="B445" s="14" t="n">
        <x:v>95</x:v>
      </x:c>
      <x:c r="C445" s="14" t="str">
        <x:v>SECTEUR</x:v>
      </x:c>
      <x:c r="D445" s="14" t="str">
        <x:v>Bitule</x:v>
      </x:c>
      <x:c r="E445" s="14"/>
      <x:c r="F445" s="14"/>
      <x:c r="G445" s="14"/>
      <x:c r="H445" s="14"/>
      <x:c r="I445" s="14" t="n">
        <x:v>2018</x:v>
      </x:c>
      <x:c r="J445" s="14" t="str">
        <x:v>S06</x:v>
      </x:c>
      <x:c r="K445" s="14" t="str">
        <x:v>HISTORIQUE_CENI_2018_A_VALIDER</x:v>
      </x:c>
    </x:row>
    <x:row r="446">
      <x:c r="A446" s="14" t="n">
        <x:v>443</x:v>
      </x:c>
      <x:c r="B446" s="14" t="n">
        <x:v>95</x:v>
      </x:c>
      <x:c r="C446" s="14" t="str">
        <x:v>SECTEUR</x:v>
      </x:c>
      <x:c r="D446" s="14" t="str">
        <x:v>Obokote</x:v>
      </x:c>
      <x:c r="E446" s="14"/>
      <x:c r="F446" s="14"/>
      <x:c r="G446" s="14"/>
      <x:c r="H446" s="14"/>
      <x:c r="I446" s="14" t="n">
        <x:v>2018</x:v>
      </x:c>
      <x:c r="J446" s="14" t="str">
        <x:v>S06</x:v>
      </x:c>
      <x:c r="K446" s="14" t="str">
        <x:v>HISTORIQUE_CENI_2018_A_VALIDER</x:v>
      </x:c>
    </x:row>
    <x:row r="447">
      <x:c r="A447" s="14" t="n">
        <x:v>444</x:v>
      </x:c>
      <x:c r="B447" s="14" t="n">
        <x:v>144</x:v>
      </x:c>
      <x:c r="C447" s="14" t="str">
        <x:v>SECTEUR</x:v>
      </x:c>
      <x:c r="D447" s="14" t="str">
        <x:v>Luebo-Kabambaie</x:v>
      </x:c>
      <x:c r="E447" s="14"/>
      <x:c r="F447" s="14"/>
      <x:c r="G447" s="14"/>
      <x:c r="H447" s="14"/>
      <x:c r="I447" s="14" t="n">
        <x:v>2018</x:v>
      </x:c>
      <x:c r="J447" s="14" t="str">
        <x:v>S06</x:v>
      </x:c>
      <x:c r="K447" s="14" t="str">
        <x:v>HISTORIQUE_CENI_2018_A_VALIDER</x:v>
      </x:c>
    </x:row>
    <x:row r="448">
      <x:c r="A448" s="14" t="n">
        <x:v>445</x:v>
      </x:c>
      <x:c r="B448" s="14" t="n">
        <x:v>144</x:v>
      </x:c>
      <x:c r="C448" s="14" t="str">
        <x:v>SECTEUR</x:v>
      </x:c>
      <x:c r="D448" s="14" t="str">
        <x:v>Luebo-Lulengele</x:v>
      </x:c>
      <x:c r="E448" s="14"/>
      <x:c r="F448" s="14"/>
      <x:c r="G448" s="14"/>
      <x:c r="H448" s="14"/>
      <x:c r="I448" s="14" t="n">
        <x:v>2018</x:v>
      </x:c>
      <x:c r="J448" s="14" t="str">
        <x:v>S06</x:v>
      </x:c>
      <x:c r="K448" s="14" t="str">
        <x:v>HISTORIQUE_CENI_2018_A_VALIDER</x:v>
      </x:c>
    </x:row>
    <x:row r="449">
      <x:c r="A449" s="14" t="n">
        <x:v>446</x:v>
      </x:c>
      <x:c r="B449" s="14" t="n">
        <x:v>144</x:v>
      </x:c>
      <x:c r="C449" s="14" t="str">
        <x:v>SECTEUR</x:v>
      </x:c>
      <x:c r="D449" s="14" t="str">
        <x:v>Luebo-Wedi</x:v>
      </x:c>
      <x:c r="E449" s="14"/>
      <x:c r="F449" s="14"/>
      <x:c r="G449" s="14"/>
      <x:c r="H449" s="14"/>
      <x:c r="I449" s="14" t="n">
        <x:v>2018</x:v>
      </x:c>
      <x:c r="J449" s="14" t="str">
        <x:v>S06</x:v>
      </x:c>
      <x:c r="K449" s="14" t="str">
        <x:v>HISTORIQUE_CENI_2018_A_VALIDER</x:v>
      </x:c>
    </x:row>
    <x:row r="450">
      <x:c r="A450" s="14" t="n">
        <x:v>447</x:v>
      </x:c>
      <x:c r="B450" s="14" t="n">
        <x:v>144</x:v>
      </x:c>
      <x:c r="C450" s="14" t="str">
        <x:v>SECTEUR</x:v>
      </x:c>
      <x:c r="D450" s="14" t="str">
        <x:v>Ndjoko-Punda</x:v>
      </x:c>
      <x:c r="E450" s="14"/>
      <x:c r="F450" s="14"/>
      <x:c r="G450" s="14"/>
      <x:c r="H450" s="14"/>
      <x:c r="I450" s="14" t="n">
        <x:v>2018</x:v>
      </x:c>
      <x:c r="J450" s="14" t="str">
        <x:v>S06</x:v>
      </x:c>
      <x:c r="K450" s="14" t="str">
        <x:v>HISTORIQUE_CENI_2018_A_VALIDER</x:v>
      </x:c>
    </x:row>
    <x:row r="451">
      <x:c r="A451" s="14" t="n">
        <x:v>448</x:v>
      </x:c>
      <x:c r="B451" s="14" t="n">
        <x:v>123</x:v>
      </x:c>
      <x:c r="C451" s="14" t="str">
        <x:v>SECTEUR</x:v>
      </x:c>
      <x:c r="D451" s="14" t="str">
        <x:v>Kanda-Kanda</x:v>
      </x:c>
      <x:c r="E451" s="14"/>
      <x:c r="F451" s="14"/>
      <x:c r="G451" s="14"/>
      <x:c r="H451" s="14"/>
      <x:c r="I451" s="14" t="n">
        <x:v>2018</x:v>
      </x:c>
      <x:c r="J451" s="14" t="str">
        <x:v>S06</x:v>
      </x:c>
      <x:c r="K451" s="14" t="str">
        <x:v>HISTORIQUE_CENI_2018_A_VALIDER</x:v>
      </x:c>
    </x:row>
    <x:row r="452">
      <x:c r="A452" s="14" t="n">
        <x:v>449</x:v>
      </x:c>
      <x:c r="B452" s="14" t="n">
        <x:v>123</x:v>
      </x:c>
      <x:c r="C452" s="14" t="str">
        <x:v>CHEFFERIE</x:v>
      </x:c>
      <x:c r="D452" s="14" t="str">
        <x:v>Kanutshina</x:v>
      </x:c>
      <x:c r="E452" s="14"/>
      <x:c r="F452" s="14"/>
      <x:c r="G452" s="14"/>
      <x:c r="H452" s="14"/>
      <x:c r="I452" s="14" t="n">
        <x:v>2018</x:v>
      </x:c>
      <x:c r="J452" s="14" t="str">
        <x:v>S06</x:v>
      </x:c>
      <x:c r="K452" s="14" t="str">
        <x:v>HISTORIQUE_CENI_2018_A_VALIDER</x:v>
      </x:c>
    </x:row>
    <x:row r="453">
      <x:c r="A453" s="14" t="n">
        <x:v>450</x:v>
      </x:c>
      <x:c r="B453" s="14" t="n">
        <x:v>123</x:v>
      </x:c>
      <x:c r="C453" s="14" t="str">
        <x:v>CHEFFERIE</x:v>
      </x:c>
      <x:c r="D453" s="14" t="str">
        <x:v>Katshisungu</x:v>
      </x:c>
      <x:c r="E453" s="14"/>
      <x:c r="F453" s="14"/>
      <x:c r="G453" s="14"/>
      <x:c r="H453" s="14"/>
      <x:c r="I453" s="14" t="n">
        <x:v>2018</x:v>
      </x:c>
      <x:c r="J453" s="14" t="str">
        <x:v>S06</x:v>
      </x:c>
      <x:c r="K453" s="14" t="str">
        <x:v>HISTORIQUE_CENI_2018_A_VALIDER</x:v>
      </x:c>
    </x:row>
    <x:row r="454">
      <x:c r="A454" s="14" t="n">
        <x:v>451</x:v>
      </x:c>
      <x:c r="B454" s="14" t="n">
        <x:v>123</x:v>
      </x:c>
      <x:c r="C454" s="14" t="str">
        <x:v>CHEFFERIE</x:v>
      </x:c>
      <x:c r="D454" s="14" t="str">
        <x:v>Mulundu</x:v>
      </x:c>
      <x:c r="E454" s="14"/>
      <x:c r="F454" s="14"/>
      <x:c r="G454" s="14"/>
      <x:c r="H454" s="14"/>
      <x:c r="I454" s="14" t="n">
        <x:v>2018</x:v>
      </x:c>
      <x:c r="J454" s="14" t="str">
        <x:v>S06</x:v>
      </x:c>
      <x:c r="K454" s="14" t="str">
        <x:v>HISTORIQUE_CENI_2018_A_VALIDER</x:v>
      </x:c>
    </x:row>
    <x:row r="455">
      <x:c r="A455" s="14" t="n">
        <x:v>452</x:v>
      </x:c>
      <x:c r="B455" s="14" t="n">
        <x:v>140</x:v>
      </x:c>
      <x:c r="C455" s="14" t="str">
        <x:v>SECTEUR</x:v>
      </x:c>
      <x:c r="D455" s="14" t="str">
        <x:v>Bambaie</x:v>
      </x:c>
      <x:c r="E455" s="14"/>
      <x:c r="F455" s="14"/>
      <x:c r="G455" s="14"/>
      <x:c r="H455" s="14"/>
      <x:c r="I455" s="14" t="n">
        <x:v>2018</x:v>
      </x:c>
      <x:c r="J455" s="14" t="str">
        <x:v>S06</x:v>
      </x:c>
      <x:c r="K455" s="14" t="str">
        <x:v>HISTORIQUE_CENI_2018_A_VALIDER</x:v>
      </x:c>
    </x:row>
    <x:row r="456">
      <x:c r="A456" s="14" t="n">
        <x:v>453</x:v>
      </x:c>
      <x:c r="B456" s="14" t="n">
        <x:v>140</x:v>
      </x:c>
      <x:c r="C456" s="14" t="str">
        <x:v>SECTEUR</x:v>
      </x:c>
      <x:c r="D456" s="14" t="str">
        <x:v>Bushimaie</x:v>
      </x:c>
      <x:c r="E456" s="14"/>
      <x:c r="F456" s="14"/>
      <x:c r="G456" s="14"/>
      <x:c r="H456" s="14"/>
      <x:c r="I456" s="14" t="n">
        <x:v>2018</x:v>
      </x:c>
      <x:c r="J456" s="14" t="str">
        <x:v>S06</x:v>
      </x:c>
      <x:c r="K456" s="14" t="str">
        <x:v>HISTORIQUE_CENI_2018_A_VALIDER</x:v>
      </x:c>
    </x:row>
    <x:row r="457">
      <x:c r="A457" s="14" t="n">
        <x:v>454</x:v>
      </x:c>
      <x:c r="B457" s="14" t="n">
        <x:v>140</x:v>
      </x:c>
      <x:c r="C457" s="14" t="str">
        <x:v>SECTEUR</x:v>
      </x:c>
      <x:c r="D457" s="14" t="str">
        <x:v>Kabalekese</x:v>
      </x:c>
      <x:c r="E457" s="14"/>
      <x:c r="F457" s="14"/>
      <x:c r="G457" s="14"/>
      <x:c r="H457" s="14"/>
      <x:c r="I457" s="14" t="n">
        <x:v>2018</x:v>
      </x:c>
      <x:c r="J457" s="14" t="str">
        <x:v>S06</x:v>
      </x:c>
      <x:c r="K457" s="14" t="str">
        <x:v>HISTORIQUE_CENI_2018_A_VALIDER</x:v>
      </x:c>
    </x:row>
    <x:row r="458">
      <x:c r="A458" s="14" t="n">
        <x:v>455</x:v>
      </x:c>
      <x:c r="B458" s="14" t="n">
        <x:v>140</x:v>
      </x:c>
      <x:c r="C458" s="14" t="str">
        <x:v>SECTEUR</x:v>
      </x:c>
      <x:c r="D458" s="14" t="str">
        <x:v>Kalunga</x:v>
      </x:c>
      <x:c r="E458" s="14"/>
      <x:c r="F458" s="14"/>
      <x:c r="G458" s="14"/>
      <x:c r="H458" s="14"/>
      <x:c r="I458" s="14" t="n">
        <x:v>2018</x:v>
      </x:c>
      <x:c r="J458" s="14" t="str">
        <x:v>S06</x:v>
      </x:c>
      <x:c r="K458" s="14" t="str">
        <x:v>HISTORIQUE_CENI_2018_A_VALIDER</x:v>
      </x:c>
    </x:row>
    <x:row r="459">
      <x:c r="A459" s="14" t="n">
        <x:v>456</x:v>
      </x:c>
      <x:c r="B459" s="14" t="n">
        <x:v>140</x:v>
      </x:c>
      <x:c r="C459" s="14" t="str">
        <x:v>SECTEUR</x:v>
      </x:c>
      <x:c r="D459" s="14" t="str">
        <x:v>Loatshi</x:v>
      </x:c>
      <x:c r="E459" s="14"/>
      <x:c r="F459" s="14"/>
      <x:c r="G459" s="14"/>
      <x:c r="H459" s="14"/>
      <x:c r="I459" s="14" t="n">
        <x:v>2018</x:v>
      </x:c>
      <x:c r="J459" s="14" t="str">
        <x:v>S06</x:v>
      </x:c>
      <x:c r="K459" s="14" t="str">
        <x:v>HISTORIQUE_CENI_2018_A_VALIDER</x:v>
      </x:c>
    </x:row>
    <x:row r="460">
      <x:c r="A460" s="14" t="n">
        <x:v>457</x:v>
      </x:c>
      <x:c r="B460" s="14" t="n">
        <x:v>140</x:v>
      </x:c>
      <x:c r="C460" s="14" t="str">
        <x:v>SECTEUR</x:v>
      </x:c>
      <x:c r="D460" s="14" t="str">
        <x:v>Lueta</x:v>
      </x:c>
      <x:c r="E460" s="14"/>
      <x:c r="F460" s="14"/>
      <x:c r="G460" s="14"/>
      <x:c r="H460" s="14"/>
      <x:c r="I460" s="14" t="n">
        <x:v>2018</x:v>
      </x:c>
      <x:c r="J460" s="14" t="str">
        <x:v>S06</x:v>
      </x:c>
      <x:c r="K460" s="14" t="str">
        <x:v>HISTORIQUE_CENI_2018_A_VALIDER</x:v>
      </x:c>
    </x:row>
    <x:row r="461">
      <x:c r="A461" s="14" t="n">
        <x:v>458</x:v>
      </x:c>
      <x:c r="B461" s="14" t="n">
        <x:v>140</x:v>
      </x:c>
      <x:c r="C461" s="14" t="str">
        <x:v>SECTEUR</x:v>
      </x:c>
      <x:c r="D461" s="14" t="str">
        <x:v>Lusanza</x:v>
      </x:c>
      <x:c r="E461" s="14"/>
      <x:c r="F461" s="14"/>
      <x:c r="G461" s="14"/>
      <x:c r="H461" s="14"/>
      <x:c r="I461" s="14" t="n">
        <x:v>2018</x:v>
      </x:c>
      <x:c r="J461" s="14" t="str">
        <x:v>S06</x:v>
      </x:c>
      <x:c r="K461" s="14" t="str">
        <x:v>HISTORIQUE_CENI_2018_A_VALIDER</x:v>
      </x:c>
    </x:row>
    <x:row r="462">
      <x:c r="A462" s="14" t="n">
        <x:v>459</x:v>
      </x:c>
      <x:c r="B462" s="14" t="n">
        <x:v>34</x:v>
      </x:c>
      <x:c r="C462" s="14" t="str">
        <x:v>SECTEUR</x:v>
      </x:c>
      <x:c r="D462" s="14" t="str">
        <x:v>Banunu</x:v>
      </x:c>
      <x:c r="E462" s="14"/>
      <x:c r="F462" s="14"/>
      <x:c r="G462" s="14"/>
      <x:c r="H462" s="14"/>
      <x:c r="I462" s="14" t="n">
        <x:v>2018</x:v>
      </x:c>
      <x:c r="J462" s="14" t="str">
        <x:v>S06</x:v>
      </x:c>
      <x:c r="K462" s="14" t="str">
        <x:v>HISTORIQUE_CENI_2018_A_VALIDER</x:v>
      </x:c>
    </x:row>
    <x:row r="463">
      <x:c r="A463" s="14" t="n">
        <x:v>460</x:v>
      </x:c>
      <x:c r="B463" s="14" t="n">
        <x:v>34</x:v>
      </x:c>
      <x:c r="C463" s="14" t="str">
        <x:v>SECTEUR</x:v>
      </x:c>
      <x:c r="D463" s="14" t="str">
        <x:v>Lusakani</x:v>
      </x:c>
      <x:c r="E463" s="14"/>
      <x:c r="F463" s="14"/>
      <x:c r="G463" s="14"/>
      <x:c r="H463" s="14"/>
      <x:c r="I463" s="14" t="n">
        <x:v>2018</x:v>
      </x:c>
      <x:c r="J463" s="14" t="str">
        <x:v>S06</x:v>
      </x:c>
      <x:c r="K463" s="14" t="str">
        <x:v>HISTORIQUE_CENI_2018_A_VALIDER</x:v>
      </x:c>
    </x:row>
    <x:row r="464">
      <x:c r="A464" s="14" t="n">
        <x:v>461</x:v>
      </x:c>
      <x:c r="B464" s="14" t="n">
        <x:v>34</x:v>
      </x:c>
      <x:c r="C464" s="14" t="str">
        <x:v>SECTEUR</x:v>
      </x:c>
      <x:c r="D464" s="14" t="str">
        <x:v>Mpama</x:v>
      </x:c>
      <x:c r="E464" s="14"/>
      <x:c r="F464" s="14"/>
      <x:c r="G464" s="14"/>
      <x:c r="H464" s="14"/>
      <x:c r="I464" s="14" t="n">
        <x:v>2018</x:v>
      </x:c>
      <x:c r="J464" s="14" t="str">
        <x:v>S06</x:v>
      </x:c>
      <x:c r="K464" s="14" t="str">
        <x:v>HISTORIQUE_CENI_2018_A_VALIDER</x:v>
      </x:c>
    </x:row>
    <x:row r="465">
      <x:c r="A465" s="14" t="n">
        <x:v>462</x:v>
      </x:c>
      <x:c r="B465" s="14" t="n">
        <x:v>3</x:v>
      </x:c>
      <x:c r="C465" s="14" t="str">
        <x:v>SECTEUR</x:v>
      </x:c>
      <x:c r="D465" s="14" t="str">
        <x:v>Fubu</x:v>
      </x:c>
      <x:c r="E465" s="14"/>
      <x:c r="F465" s="14"/>
      <x:c r="G465" s="14"/>
      <x:c r="H465" s="14"/>
      <x:c r="I465" s="14" t="n">
        <x:v>2018</x:v>
      </x:c>
      <x:c r="J465" s="14" t="str">
        <x:v>S06</x:v>
      </x:c>
      <x:c r="K465" s="14" t="str">
        <x:v>HISTORIQUE_CENI_2018_A_VALIDER</x:v>
      </x:c>
    </x:row>
    <x:row r="466">
      <x:c r="A466" s="14" t="n">
        <x:v>463</x:v>
      </x:c>
      <x:c r="B466" s="14" t="n">
        <x:v>3</x:v>
      </x:c>
      <x:c r="C466" s="14" t="str">
        <x:v>SECTEUR</x:v>
      </x:c>
      <x:c r="D466" s="14" t="str">
        <x:v>Kakongo</x:v>
      </x:c>
      <x:c r="E466" s="14"/>
      <x:c r="F466" s="14"/>
      <x:c r="G466" s="14"/>
      <x:c r="H466" s="14"/>
      <x:c r="I466" s="14" t="n">
        <x:v>2018</x:v>
      </x:c>
      <x:c r="J466" s="14" t="str">
        <x:v>S06</x:v>
      </x:c>
      <x:c r="K466" s="14" t="str">
        <x:v>HISTORIQUE_CENI_2018_A_VALIDER</x:v>
      </x:c>
    </x:row>
    <x:row r="467">
      <x:c r="A467" s="14" t="n">
        <x:v>464</x:v>
      </x:c>
      <x:c r="B467" s="14" t="n">
        <x:v>3</x:v>
      </x:c>
      <x:c r="C467" s="14" t="str">
        <x:v>SECTEUR</x:v>
      </x:c>
      <x:c r="D467" s="14" t="str">
        <x:v>Patu</x:v>
      </x:c>
      <x:c r="E467" s="14"/>
      <x:c r="F467" s="14"/>
      <x:c r="G467" s="14"/>
      <x:c r="H467" s="14"/>
      <x:c r="I467" s="14" t="n">
        <x:v>2018</x:v>
      </x:c>
      <x:c r="J467" s="14" t="str">
        <x:v>S06</x:v>
      </x:c>
      <x:c r="K467" s="14" t="str">
        <x:v>HISTORIQUE_CENI_2018_A_VALIDER</x:v>
      </x:c>
    </x:row>
    <x:row r="468">
      <x:c r="A468" s="14" t="n">
        <x:v>465</x:v>
      </x:c>
      <x:c r="B468" s="14" t="n">
        <x:v>3</x:v>
      </x:c>
      <x:c r="C468" s="14" t="str">
        <x:v>SECTEUR</x:v>
      </x:c>
      <x:c r="D468" s="14" t="str">
        <x:v>Tsanga-Sud</x:v>
      </x:c>
      <x:c r="E468" s="14"/>
      <x:c r="F468" s="14"/>
      <x:c r="G468" s="14"/>
      <x:c r="H468" s="14"/>
      <x:c r="I468" s="14" t="n">
        <x:v>2018</x:v>
      </x:c>
      <x:c r="J468" s="14" t="str">
        <x:v>S06</x:v>
      </x:c>
      <x:c r="K468" s="14" t="str">
        <x:v>HISTORIQUE_CENI_2018_A_VALIDER</x:v>
      </x:c>
    </x:row>
    <x:row r="469">
      <x:c r="A469" s="14" t="n">
        <x:v>466</x:v>
      </x:c>
      <x:c r="B469" s="14" t="n">
        <x:v>3</x:v>
      </x:c>
      <x:c r="C469" s="14" t="str">
        <x:v>SECTEUR</x:v>
      </x:c>
      <x:c r="D469" s="14" t="str">
        <x:v>Tsundi-Sud</x:v>
      </x:c>
      <x:c r="E469" s="14"/>
      <x:c r="F469" s="14"/>
      <x:c r="G469" s="14"/>
      <x:c r="H469" s="14"/>
      <x:c r="I469" s="14" t="n">
        <x:v>2018</x:v>
      </x:c>
      <x:c r="J469" s="14" t="str">
        <x:v>S06</x:v>
      </x:c>
      <x:c r="K469" s="14" t="str">
        <x:v>HISTORIQUE_CENI_2018_A_VALIDER</x:v>
      </x:c>
    </x:row>
    <x:row r="470">
      <x:c r="A470" s="14" t="n">
        <x:v>467</x:v>
      </x:c>
      <x:c r="B470" s="14" t="n">
        <x:v>4</x:v>
      </x:c>
      <x:c r="C470" s="14" t="str">
        <x:v>SECTEUR</x:v>
      </x:c>
      <x:c r="D470" s="14" t="str">
        <x:v>Balari</x:v>
      </x:c>
      <x:c r="E470" s="14"/>
      <x:c r="F470" s="14"/>
      <x:c r="G470" s="14"/>
      <x:c r="H470" s="14"/>
      <x:c r="I470" s="14" t="n">
        <x:v>2018</x:v>
      </x:c>
      <x:c r="J470" s="14" t="str">
        <x:v>S06</x:v>
      </x:c>
      <x:c r="K470" s="14" t="str">
        <x:v>HISTORIQUE_CENI_2018_A_VALIDER</x:v>
      </x:c>
    </x:row>
    <x:row r="471">
      <x:c r="A471" s="14" t="n">
        <x:v>468</x:v>
      </x:c>
      <x:c r="B471" s="14" t="n">
        <x:v>4</x:v>
      </x:c>
      <x:c r="C471" s="14" t="str">
        <x:v>SECTEUR</x:v>
      </x:c>
      <x:c r="D471" s="14" t="str">
        <x:v>Kenge</x:v>
      </x:c>
      <x:c r="E471" s="14"/>
      <x:c r="F471" s="14"/>
      <x:c r="G471" s="14"/>
      <x:c r="H471" s="14"/>
      <x:c r="I471" s="14" t="n">
        <x:v>2018</x:v>
      </x:c>
      <x:c r="J471" s="14" t="str">
        <x:v>S06</x:v>
      </x:c>
      <x:c r="K471" s="14" t="str">
        <x:v>HISTORIQUE_CENI_2018_A_VALIDER</x:v>
      </x:c>
    </x:row>
    <x:row r="472">
      <x:c r="A472" s="14" t="n">
        <x:v>469</x:v>
      </x:c>
      <x:c r="B472" s="14" t="n">
        <x:v>4</x:v>
      </x:c>
      <x:c r="C472" s="14" t="str">
        <x:v>SECTEUR</x:v>
      </x:c>
      <x:c r="D472" s="14" t="str">
        <x:v>Kimbanza</x:v>
      </x:c>
      <x:c r="E472" s="14"/>
      <x:c r="F472" s="14"/>
      <x:c r="G472" s="14"/>
      <x:c r="H472" s="14"/>
      <x:c r="I472" s="14" t="n">
        <x:v>2018</x:v>
      </x:c>
      <x:c r="J472" s="14" t="str">
        <x:v>S06</x:v>
      </x:c>
      <x:c r="K472" s="14" t="str">
        <x:v>HISTORIQUE_CENI_2018_A_VALIDER</x:v>
      </x:c>
    </x:row>
    <x:row r="473">
      <x:c r="A473" s="14" t="n">
        <x:v>470</x:v>
      </x:c>
      <x:c r="B473" s="14" t="n">
        <x:v>4</x:v>
      </x:c>
      <x:c r="C473" s="14" t="str">
        <x:v>SECTEUR</x:v>
      </x:c>
      <x:c r="D473" s="14" t="str">
        <x:v>Kimumba</x:v>
      </x:c>
      <x:c r="E473" s="14"/>
      <x:c r="F473" s="14"/>
      <x:c r="G473" s="14"/>
      <x:c r="H473" s="14"/>
      <x:c r="I473" s="14" t="n">
        <x:v>2018</x:v>
      </x:c>
      <x:c r="J473" s="14" t="str">
        <x:v>S06</x:v>
      </x:c>
      <x:c r="K473" s="14" t="str">
        <x:v>HISTORIQUE_CENI_2018_A_VALIDER</x:v>
      </x:c>
    </x:row>
    <x:row r="474">
      <x:c r="A474" s="14" t="n">
        <x:v>471</x:v>
      </x:c>
      <x:c r="B474" s="14" t="n">
        <x:v>4</x:v>
      </x:c>
      <x:c r="C474" s="14" t="str">
        <x:v>SECTEUR</x:v>
      </x:c>
      <x:c r="D474" s="14" t="str">
        <x:v>Kinkenge</x:v>
      </x:c>
      <x:c r="E474" s="14"/>
      <x:c r="F474" s="14"/>
      <x:c r="G474" s="14"/>
      <x:c r="H474" s="14"/>
      <x:c r="I474" s="14" t="n">
        <x:v>2018</x:v>
      </x:c>
      <x:c r="J474" s="14" t="str">
        <x:v>S06</x:v>
      </x:c>
      <x:c r="K474" s="14" t="str">
        <x:v>HISTORIQUE_CENI_2018_A_VALIDER</x:v>
      </x:c>
    </x:row>
    <x:row r="475">
      <x:c r="A475" s="14" t="n">
        <x:v>472</x:v>
      </x:c>
      <x:c r="B475" s="14" t="n">
        <x:v>4</x:v>
      </x:c>
      <x:c r="C475" s="14" t="str">
        <x:v>SECTEUR</x:v>
      </x:c>
      <x:c r="D475" s="14" t="str">
        <x:v>Kivunda</x:v>
      </x:c>
      <x:c r="E475" s="14"/>
      <x:c r="F475" s="14"/>
      <x:c r="G475" s="14"/>
      <x:c r="H475" s="14"/>
      <x:c r="I475" s="14" t="n">
        <x:v>2018</x:v>
      </x:c>
      <x:c r="J475" s="14" t="str">
        <x:v>S06</x:v>
      </x:c>
      <x:c r="K475" s="14" t="str">
        <x:v>HISTORIQUE_CENI_2018_A_VALIDER</x:v>
      </x:c>
    </x:row>
    <x:row r="476">
      <x:c r="A476" s="14" t="n">
        <x:v>473</x:v>
      </x:c>
      <x:c r="B476" s="14" t="n">
        <x:v>4</x:v>
      </x:c>
      <x:c r="C476" s="14" t="str">
        <x:v>SECTEUR</x:v>
      </x:c>
      <x:c r="D476" s="14" t="str">
        <x:v>Mbanza Mona</x:v>
      </x:c>
      <x:c r="E476" s="14"/>
      <x:c r="F476" s="14"/>
      <x:c r="G476" s="14"/>
      <x:c r="H476" s="14"/>
      <x:c r="I476" s="14" t="n">
        <x:v>2018</x:v>
      </x:c>
      <x:c r="J476" s="14" t="str">
        <x:v>S06</x:v>
      </x:c>
      <x:c r="K476" s="14" t="str">
        <x:v>HISTORIQUE_CENI_2018_A_VALIDER</x:v>
      </x:c>
    </x:row>
    <x:row r="477">
      <x:c r="A477" s="14" t="n">
        <x:v>474</x:v>
      </x:c>
      <x:c r="B477" s="14" t="n">
        <x:v>4</x:v>
      </x:c>
      <x:c r="C477" s="14" t="str">
        <x:v>SECTEUR</x:v>
      </x:c>
      <x:c r="D477" s="14" t="str">
        <x:v>Mbanza-Mwembe</x:v>
      </x:c>
      <x:c r="E477" s="14"/>
      <x:c r="F477" s="14"/>
      <x:c r="G477" s="14"/>
      <x:c r="H477" s="14"/>
      <x:c r="I477" s="14" t="n">
        <x:v>2018</x:v>
      </x:c>
      <x:c r="J477" s="14" t="str">
        <x:v>S06</x:v>
      </x:c>
      <x:c r="K477" s="14" t="str">
        <x:v>HISTORIQUE_CENI_2018_A_VALIDER</x:v>
      </x:c>
    </x:row>
    <x:row r="478">
      <x:c r="A478" s="14" t="n">
        <x:v>475</x:v>
      </x:c>
      <x:c r="B478" s="14" t="n">
        <x:v>4</x:v>
      </x:c>
      <x:c r="C478" s="14" t="str">
        <x:v>SECTEUR</x:v>
      </x:c>
      <x:c r="D478" s="14" t="str">
        <x:v>Mbanza Ngoyo</x:v>
      </x:c>
      <x:c r="E478" s="14"/>
      <x:c r="F478" s="14"/>
      <x:c r="G478" s="14"/>
      <x:c r="H478" s="14"/>
      <x:c r="I478" s="14" t="n">
        <x:v>2018</x:v>
      </x:c>
      <x:c r="J478" s="14" t="str">
        <x:v>S06</x:v>
      </x:c>
      <x:c r="K478" s="14" t="str">
        <x:v>HISTORIQUE_CENI_2018_A_VALIDER</x:v>
      </x:c>
    </x:row>
    <x:row r="479">
      <x:c r="A479" s="14" t="n">
        <x:v>476</x:v>
      </x:c>
      <x:c r="B479" s="14" t="n">
        <x:v>4</x:v>
      </x:c>
      <x:c r="C479" s="14" t="str">
        <x:v>SECTEUR</x:v>
      </x:c>
      <x:c r="D479" s="14" t="str">
        <x:v>Mongo Luala</x:v>
      </x:c>
      <x:c r="E479" s="14"/>
      <x:c r="F479" s="14"/>
      <x:c r="G479" s="14"/>
      <x:c r="H479" s="14"/>
      <x:c r="I479" s="14" t="n">
        <x:v>2018</x:v>
      </x:c>
      <x:c r="J479" s="14" t="str">
        <x:v>S06</x:v>
      </x:c>
      <x:c r="K479" s="14" t="str">
        <x:v>HISTORIQUE_CENI_2018_A_VALIDER</x:v>
      </x:c>
    </x:row>
    <x:row r="480">
      <x:c r="A480" s="14" t="n">
        <x:v>477</x:v>
      </x:c>
      <x:c r="B480" s="14" t="n">
        <x:v>127</x:v>
      </x:c>
      <x:c r="C480" s="14" t="str">
        <x:v>SECTEUR</x:v>
      </x:c>
      <x:c r="D480" s="14" t="str">
        <x:v>Kabala</x:v>
      </x:c>
      <x:c r="E480" s="14"/>
      <x:c r="F480" s="14"/>
      <x:c r="G480" s="14"/>
      <x:c r="H480" s="14"/>
      <x:c r="I480" s="14" t="n">
        <x:v>2018</x:v>
      </x:c>
      <x:c r="J480" s="14" t="str">
        <x:v>S06</x:v>
      </x:c>
      <x:c r="K480" s="14" t="str">
        <x:v>HISTORIQUE_CENI_2018_A_VALIDER</x:v>
      </x:c>
    </x:row>
    <x:row r="481">
      <x:c r="A481" s="14" t="n">
        <x:v>478</x:v>
      </x:c>
      <x:c r="B481" s="14" t="n">
        <x:v>127</x:v>
      </x:c>
      <x:c r="C481" s="14" t="str">
        <x:v>SECTEUR</x:v>
      </x:c>
      <x:c r="D481" s="14" t="str">
        <x:v>Mudiba</x:v>
      </x:c>
      <x:c r="E481" s="14"/>
      <x:c r="F481" s="14"/>
      <x:c r="G481" s="14"/>
      <x:c r="H481" s="14"/>
      <x:c r="I481" s="14" t="n">
        <x:v>2018</x:v>
      </x:c>
      <x:c r="J481" s="14" t="str">
        <x:v>S06</x:v>
      </x:c>
      <x:c r="K481" s="14" t="str">
        <x:v>HISTORIQUE_CENI_2018_A_VALIDER</x:v>
      </x:c>
    </x:row>
    <x:row r="482">
      <x:c r="A482" s="14" t="n">
        <x:v>479</x:v>
      </x:c>
      <x:c r="B482" s="14" t="n">
        <x:v>127</x:v>
      </x:c>
      <x:c r="C482" s="14" t="str">
        <x:v>SECTEUR</x:v>
      </x:c>
      <x:c r="D482" s="14" t="str">
        <x:v>Mukumbi</x:v>
      </x:c>
      <x:c r="E482" s="14"/>
      <x:c r="F482" s="14"/>
      <x:c r="G482" s="14"/>
      <x:c r="H482" s="14"/>
      <x:c r="I482" s="14" t="n">
        <x:v>2018</x:v>
      </x:c>
      <x:c r="J482" s="14" t="str">
        <x:v>S06</x:v>
      </x:c>
      <x:c r="K482" s="14" t="str">
        <x:v>HISTORIQUE_CENI_2018_A_VALIDER</x:v>
      </x:c>
    </x:row>
    <x:row r="483">
      <x:c r="A483" s="14" t="n">
        <x:v>480</x:v>
      </x:c>
      <x:c r="B483" s="14" t="n">
        <x:v>127</x:v>
      </x:c>
      <x:c r="C483" s="14" t="str">
        <x:v>SECTEUR</x:v>
      </x:c>
      <x:c r="D483" s="14" t="str">
        <x:v>Mulenda</x:v>
      </x:c>
      <x:c r="E483" s="14"/>
      <x:c r="F483" s="14"/>
      <x:c r="G483" s="14"/>
      <x:c r="H483" s="14"/>
      <x:c r="I483" s="14" t="n">
        <x:v>2018</x:v>
      </x:c>
      <x:c r="J483" s="14" t="str">
        <x:v>S06</x:v>
      </x:c>
      <x:c r="K483" s="14" t="str">
        <x:v>HISTORIQUE_CENI_2018_A_VALIDER</x:v>
      </x:c>
    </x:row>
    <x:row r="484">
      <x:c r="A484" s="14" t="n">
        <x:v>481</x:v>
      </x:c>
      <x:c r="B484" s="14" t="n">
        <x:v>135</x:v>
      </x:c>
      <x:c r="C484" s="14" t="str">
        <x:v>SECTEUR</x:v>
      </x:c>
      <x:c r="D484" s="14" t="str">
        <x:v>Batetela</x:v>
      </x:c>
      <x:c r="E484" s="14"/>
      <x:c r="F484" s="14"/>
      <x:c r="G484" s="14"/>
      <x:c r="H484" s="14"/>
      <x:c r="I484" s="14" t="n">
        <x:v>2018</x:v>
      </x:c>
      <x:c r="J484" s="14" t="str">
        <x:v>S06</x:v>
      </x:c>
      <x:c r="K484" s="14" t="str">
        <x:v>HISTORIQUE_CENI_2018_A_VALIDER</x:v>
      </x:c>
    </x:row>
    <x:row r="485">
      <x:c r="A485" s="14" t="n">
        <x:v>482</x:v>
      </x:c>
      <x:c r="B485" s="14" t="n">
        <x:v>135</x:v>
      </x:c>
      <x:c r="C485" s="14" t="str">
        <x:v>SECTEUR</x:v>
      </x:c>
      <x:c r="D485" s="14" t="str">
        <x:v>Basonge</x:v>
      </x:c>
      <x:c r="E485" s="14"/>
      <x:c r="F485" s="14"/>
      <x:c r="G485" s="14"/>
      <x:c r="H485" s="14"/>
      <x:c r="I485" s="14" t="n">
        <x:v>2018</x:v>
      </x:c>
      <x:c r="J485" s="14" t="str">
        <x:v>S06</x:v>
      </x:c>
      <x:c r="K485" s="14" t="str">
        <x:v>HISTORIQUE_CENI_2018_A_VALIDER</x:v>
      </x:c>
    </x:row>
    <x:row r="486">
      <x:c r="A486" s="14" t="n">
        <x:v>483</x:v>
      </x:c>
      <x:c r="B486" s="14" t="n">
        <x:v>135</x:v>
      </x:c>
      <x:c r="C486" s="14" t="str">
        <x:v>SECTEUR</x:v>
      </x:c>
      <x:c r="D486" s="14" t="str">
        <x:v>Entre Kunduye Mal</x:v>
      </x:c>
      <x:c r="E486" s="14"/>
      <x:c r="F486" s="14"/>
      <x:c r="G486" s="14"/>
      <x:c r="H486" s="14"/>
      <x:c r="I486" s="14" t="n">
        <x:v>2018</x:v>
      </x:c>
      <x:c r="J486" s="14" t="str">
        <x:v>S06</x:v>
      </x:c>
      <x:c r="K486" s="14" t="str">
        <x:v>HISTORIQUE_CENI_2018_A_VALIDER</x:v>
      </x:c>
    </x:row>
    <x:row r="487">
      <x:c r="A487" s="14" t="n">
        <x:v>484</x:v>
      </x:c>
      <x:c r="B487" s="14" t="n">
        <x:v>135</x:v>
      </x:c>
      <x:c r="C487" s="14" t="str">
        <x:v>SECTEUR</x:v>
      </x:c>
      <x:c r="D487" s="14" t="str">
        <x:v>Entre Lubi Kunduye</x:v>
      </x:c>
      <x:c r="E487" s="14"/>
      <x:c r="F487" s="14"/>
      <x:c r="G487" s="14"/>
      <x:c r="H487" s="14"/>
      <x:c r="I487" s="14" t="n">
        <x:v>2018</x:v>
      </x:c>
      <x:c r="J487" s="14" t="str">
        <x:v>S06</x:v>
      </x:c>
      <x:c r="K487" s="14" t="str">
        <x:v>HISTORIQUE_CENI_2018_A_VALIDER</x:v>
      </x:c>
    </x:row>
    <x:row r="488">
      <x:c r="A488" s="14" t="n">
        <x:v>485</x:v>
      </x:c>
      <x:c r="B488" s="14" t="n">
        <x:v>135</x:v>
      </x:c>
      <x:c r="C488" s="14" t="str">
        <x:v>SECTEUR</x:v>
      </x:c>
      <x:c r="D488" s="14" t="str">
        <x:v>Kashindi</x:v>
      </x:c>
      <x:c r="E488" s="14"/>
      <x:c r="F488" s="14"/>
      <x:c r="G488" s="14"/>
      <x:c r="H488" s="14"/>
      <x:c r="I488" s="14" t="n">
        <x:v>2018</x:v>
      </x:c>
      <x:c r="J488" s="14" t="str">
        <x:v>S06</x:v>
      </x:c>
      <x:c r="K488" s="14" t="str">
        <x:v>HISTORIQUE_CENI_2018_A_VALIDER</x:v>
      </x:c>
    </x:row>
    <x:row r="489">
      <x:c r="A489" s="14" t="n">
        <x:v>486</x:v>
      </x:c>
      <x:c r="B489" s="14" t="n">
        <x:v>135</x:v>
      </x:c>
      <x:c r="C489" s="14" t="str">
        <x:v>SECTEUR</x:v>
      </x:c>
      <x:c r="D489" s="14" t="str">
        <x:v>Lubi</x:v>
      </x:c>
      <x:c r="E489" s="14"/>
      <x:c r="F489" s="14"/>
      <x:c r="G489" s="14"/>
      <x:c r="H489" s="14"/>
      <x:c r="I489" s="14" t="n">
        <x:v>2018</x:v>
      </x:c>
      <x:c r="J489" s="14" t="str">
        <x:v>S06</x:v>
      </x:c>
      <x:c r="K489" s="14" t="str">
        <x:v>HISTORIQUE_CENI_2018_A_VALIDER</x:v>
      </x:c>
    </x:row>
    <x:row r="490">
      <x:c r="A490" s="14" t="n">
        <x:v>487</x:v>
      </x:c>
      <x:c r="B490" s="14" t="n">
        <x:v>135</x:v>
      </x:c>
      <x:c r="C490" s="14" t="str">
        <x:v>SECTEUR</x:v>
      </x:c>
      <x:c r="D490" s="14" t="str">
        <x:v>Pania-Mutombo</x:v>
      </x:c>
      <x:c r="E490" s="14"/>
      <x:c r="F490" s="14"/>
      <x:c r="G490" s="14"/>
      <x:c r="H490" s="14"/>
      <x:c r="I490" s="14" t="n">
        <x:v>2018</x:v>
      </x:c>
      <x:c r="J490" s="14" t="str">
        <x:v>S06</x:v>
      </x:c>
      <x:c r="K490" s="14" t="str">
        <x:v>HISTORIQUE_CENI_2018_A_VALIDER</x:v>
      </x:c>
    </x:row>
    <x:row r="491">
      <x:c r="A491" s="14" t="n">
        <x:v>488</x:v>
      </x:c>
      <x:c r="B491" s="14" t="n">
        <x:v>135</x:v>
      </x:c>
      <x:c r="C491" s="14" t="str">
        <x:v>SECTEUR</x:v>
      </x:c>
      <x:c r="D491" s="14" t="str">
        <x:v>Sankuru</x:v>
      </x:c>
      <x:c r="E491" s="14"/>
      <x:c r="F491" s="14"/>
      <x:c r="G491" s="14"/>
      <x:c r="H491" s="14"/>
      <x:c r="I491" s="14" t="n">
        <x:v>2018</x:v>
      </x:c>
      <x:c r="J491" s="14" t="str">
        <x:v>S06</x:v>
      </x:c>
      <x:c r="K491" s="14" t="str">
        <x:v>HISTORIQUE_CENI_2018_A_VALIDER</x:v>
      </x:c>
    </x:row>
    <x:row r="492">
      <x:c r="A492" s="14" t="n">
        <x:v>489</x:v>
      </x:c>
      <x:c r="B492" s="14" t="n">
        <x:v>5</x:v>
      </x:c>
      <x:c r="C492" s="14" t="str">
        <x:v>SECTEUR</x:v>
      </x:c>
      <x:c r="D492" s="14" t="str">
        <x:v>Luidi</x:v>
      </x:c>
      <x:c r="E492" s="14"/>
      <x:c r="F492" s="14"/>
      <x:c r="G492" s="14"/>
      <x:c r="H492" s="14"/>
      <x:c r="I492" s="14" t="n">
        <x:v>2018</x:v>
      </x:c>
      <x:c r="J492" s="14" t="str">
        <x:v>S06</x:v>
      </x:c>
      <x:c r="K492" s="14" t="str">
        <x:v>HISTORIQUE_CENI_2018_A_VALIDER</x:v>
      </x:c>
    </x:row>
    <x:row r="493">
      <x:c r="A493" s="14" t="n">
        <x:v>490</x:v>
      </x:c>
      <x:c r="B493" s="14" t="n">
        <x:v>5</x:v>
      </x:c>
      <x:c r="C493" s="14" t="str">
        <x:v>SECTEUR</x:v>
      </x:c>
      <x:c r="D493" s="14" t="str">
        <x:v>Mfidi Malele</x:v>
      </x:c>
      <x:c r="E493" s="14"/>
      <x:c r="F493" s="14"/>
      <x:c r="G493" s="14"/>
      <x:c r="H493" s="14"/>
      <x:c r="I493" s="14" t="n">
        <x:v>2018</x:v>
      </x:c>
      <x:c r="J493" s="14" t="str">
        <x:v>S06</x:v>
      </x:c>
      <x:c r="K493" s="14" t="str">
        <x:v>HISTORIQUE_CENI_2018_A_VALIDER</x:v>
      </x:c>
    </x:row>
    <x:row r="494">
      <x:c r="A494" s="14" t="n">
        <x:v>491</x:v>
      </x:c>
      <x:c r="B494" s="14" t="n">
        <x:v>5</x:v>
      </x:c>
      <x:c r="C494" s="14" t="str">
        <x:v>SECTEUR</x:v>
      </x:c>
      <x:c r="D494" s="14" t="str">
        <x:v>Mfuma Kibambi</x:v>
      </x:c>
      <x:c r="E494" s="14"/>
      <x:c r="F494" s="14"/>
      <x:c r="G494" s="14"/>
      <x:c r="H494" s="14"/>
      <x:c r="I494" s="14" t="n">
        <x:v>2018</x:v>
      </x:c>
      <x:c r="J494" s="14" t="str">
        <x:v>S06</x:v>
      </x:c>
      <x:c r="K494" s="14" t="str">
        <x:v>HISTORIQUE_CENI_2018_A_VALIDER</x:v>
      </x:c>
    </x:row>
    <x:row r="495">
      <x:c r="A495" s="14" t="n">
        <x:v>492</x:v>
      </x:c>
      <x:c r="B495" s="14" t="n">
        <x:v>5</x:v>
      </x:c>
      <x:c r="C495" s="14" t="str">
        <x:v>SECTEUR</x:v>
      </x:c>
      <x:c r="D495" s="14" t="str">
        <x:v>Ngeba</x:v>
      </x:c>
      <x:c r="E495" s="14"/>
      <x:c r="F495" s="14"/>
      <x:c r="G495" s="14"/>
      <x:c r="H495" s="14"/>
      <x:c r="I495" s="14" t="n">
        <x:v>2018</x:v>
      </x:c>
      <x:c r="J495" s="14" t="str">
        <x:v>S06</x:v>
      </x:c>
      <x:c r="K495" s="14" t="str">
        <x:v>HISTORIQUE_CENI_2018_A_VALIDER</x:v>
      </x:c>
    </x:row>
    <x:row r="496">
      <x:c r="A496" s="14" t="n">
        <x:v>493</x:v>
      </x:c>
      <x:c r="B496" s="14" t="n">
        <x:v>5</x:v>
      </x:c>
      <x:c r="C496" s="14" t="str">
        <x:v>SECTEUR</x:v>
      </x:c>
      <x:c r="D496" s="14" t="str">
        <x:v>Ngufu</x:v>
      </x:c>
      <x:c r="E496" s="14"/>
      <x:c r="F496" s="14"/>
      <x:c r="G496" s="14"/>
      <x:c r="H496" s="14"/>
      <x:c r="I496" s="14" t="n">
        <x:v>2018</x:v>
      </x:c>
      <x:c r="J496" s="14" t="str">
        <x:v>S06</x:v>
      </x:c>
      <x:c r="K496" s="14" t="str">
        <x:v>HISTORIQUE_CENI_2018_A_VALIDER</x:v>
      </x:c>
    </x:row>
    <x:row r="497">
      <x:c r="A497" s="14" t="n">
        <x:v>494</x:v>
      </x:c>
      <x:c r="B497" s="14" t="n">
        <x:v>5</x:v>
      </x:c>
      <x:c r="C497" s="14" t="str">
        <x:v>SECTEUR</x:v>
      </x:c>
      <x:c r="D497" s="14" t="str">
        <x:v>Wungu</x:v>
      </x:c>
      <x:c r="E497" s="14"/>
      <x:c r="F497" s="14"/>
      <x:c r="G497" s="14"/>
      <x:c r="H497" s="14"/>
      <x:c r="I497" s="14" t="n">
        <x:v>2018</x:v>
      </x:c>
      <x:c r="J497" s="14" t="str">
        <x:v>S06</x:v>
      </x:c>
      <x:c r="K497" s="14" t="str">
        <x:v>HISTORIQUE_CENI_2018_A_VALIDER</x:v>
      </x:c>
    </x:row>
    <x:row r="498">
      <x:c r="A498" s="14" t="n">
        <x:v>495</x:v>
      </x:c>
      <x:c r="B498" s="14" t="n">
        <x:v>75</x:v>
      </x:c>
      <x:c r="C498" s="14" t="str">
        <x:v>CHEFFERIE</x:v>
      </x:c>
      <x:c r="D498" s="14" t="str">
        <x:v>Alur-Djuganda</x:v>
      </x:c>
      <x:c r="E498" s="14"/>
      <x:c r="F498" s="14"/>
      <x:c r="G498" s="14"/>
      <x:c r="H498" s="14"/>
      <x:c r="I498" s="14" t="n">
        <x:v>2018</x:v>
      </x:c>
      <x:c r="J498" s="14" t="str">
        <x:v>S06</x:v>
      </x:c>
      <x:c r="K498" s="14" t="str">
        <x:v>HISTORIQUE_CENI_2018_A_VALIDER</x:v>
      </x:c>
    </x:row>
    <x:row r="499">
      <x:c r="A499" s="14" t="n">
        <x:v>496</x:v>
      </x:c>
      <x:c r="B499" s="14" t="n">
        <x:v>75</x:v>
      </x:c>
      <x:c r="C499" s="14" t="str">
        <x:v>CHEFFERIE</x:v>
      </x:c>
      <x:c r="D499" s="14" t="str">
        <x:v>Anghal 1 &amp; 2</x:v>
      </x:c>
      <x:c r="E499" s="14"/>
      <x:c r="F499" s="14"/>
      <x:c r="G499" s="14"/>
      <x:c r="H499" s="14"/>
      <x:c r="I499" s="14" t="n">
        <x:v>2018</x:v>
      </x:c>
      <x:c r="J499" s="14" t="str">
        <x:v>S06</x:v>
      </x:c>
      <x:c r="K499" s="14" t="str">
        <x:v>HISTORIQUE_CENI_2018_A_VALIDER</x:v>
      </x:c>
    </x:row>
    <x:row r="500">
      <x:c r="A500" s="14" t="n">
        <x:v>497</x:v>
      </x:c>
      <x:c r="B500" s="14" t="n">
        <x:v>75</x:v>
      </x:c>
      <x:c r="C500" s="14" t="str">
        <x:v>CHEFFERIE</x:v>
      </x:c>
      <x:c r="D500" s="14" t="str">
        <x:v>Djukoth 1 &amp; 2</x:v>
      </x:c>
      <x:c r="E500" s="14"/>
      <x:c r="F500" s="14"/>
      <x:c r="G500" s="14"/>
      <x:c r="H500" s="14"/>
      <x:c r="I500" s="14" t="n">
        <x:v>2018</x:v>
      </x:c>
      <x:c r="J500" s="14" t="str">
        <x:v>S06</x:v>
      </x:c>
      <x:c r="K500" s="14" t="str">
        <x:v>HISTORIQUE_CENI_2018_A_VALIDER</x:v>
      </x:c>
    </x:row>
    <x:row r="501">
      <x:c r="A501" s="14" t="n">
        <x:v>498</x:v>
      </x:c>
      <x:c r="B501" s="14" t="n">
        <x:v>75</x:v>
      </x:c>
      <x:c r="C501" s="14" t="str">
        <x:v>CHEFFERIE</x:v>
      </x:c>
      <x:c r="D501" s="14" t="str">
        <x:v>Mokambo</x:v>
      </x:c>
      <x:c r="E501" s="14"/>
      <x:c r="F501" s="14"/>
      <x:c r="G501" s="14"/>
      <x:c r="H501" s="14"/>
      <x:c r="I501" s="14" t="n">
        <x:v>2018</x:v>
      </x:c>
      <x:c r="J501" s="14" t="str">
        <x:v>S06</x:v>
      </x:c>
      <x:c r="K501" s="14" t="str">
        <x:v>HISTORIQUE_CENI_2018_A_VALIDER</x:v>
      </x:c>
    </x:row>
    <x:row r="502">
      <x:c r="A502" s="14" t="n">
        <x:v>499</x:v>
      </x:c>
      <x:c r="B502" s="14" t="n">
        <x:v>75</x:v>
      </x:c>
      <x:c r="C502" s="14" t="str">
        <x:v>CHEFFERIE</x:v>
      </x:c>
      <x:c r="D502" s="14" t="str">
        <x:v>Pandoro</x:v>
      </x:c>
      <x:c r="E502" s="14"/>
      <x:c r="F502" s="14"/>
      <x:c r="G502" s="14"/>
      <x:c r="H502" s="14"/>
      <x:c r="I502" s="14" t="n">
        <x:v>2018</x:v>
      </x:c>
      <x:c r="J502" s="14" t="str">
        <x:v>S06</x:v>
      </x:c>
      <x:c r="K502" s="14" t="str">
        <x:v>HISTORIQUE_CENI_2018_A_VALIDER</x:v>
      </x:c>
    </x:row>
    <x:row r="503">
      <x:c r="A503" s="14" t="n">
        <x:v>500</x:v>
      </x:c>
      <x:c r="B503" s="14" t="n">
        <x:v>75</x:v>
      </x:c>
      <x:c r="C503" s="14" t="str">
        <x:v>CHEFFERIE</x:v>
      </x:c>
      <x:c r="D503" s="14" t="str">
        <x:v>Walendu Watsi</x:v>
      </x:c>
      <x:c r="E503" s="14"/>
      <x:c r="F503" s="14"/>
      <x:c r="G503" s="14"/>
      <x:c r="H503" s="14"/>
      <x:c r="I503" s="14" t="n">
        <x:v>2018</x:v>
      </x:c>
      <x:c r="J503" s="14" t="str">
        <x:v>S06</x:v>
      </x:c>
      <x:c r="K503" s="14" t="str">
        <x:v>HISTORIQUE_CENI_2018_A_VALIDER</x:v>
      </x:c>
    </x:row>
    <x:row r="504">
      <x:c r="A504" s="14" t="n">
        <x:v>501</x:v>
      </x:c>
      <x:c r="B504" s="14" t="n">
        <x:v>75</x:v>
      </x:c>
      <x:c r="C504" s="14" t="str">
        <x:v>CHEFFERIE</x:v>
      </x:c>
      <x:c r="D504" s="14" t="str">
        <x:v>Wangongo</x:v>
      </x:c>
      <x:c r="E504" s="14"/>
      <x:c r="F504" s="14"/>
      <x:c r="G504" s="14"/>
      <x:c r="H504" s="14"/>
      <x:c r="I504" s="14" t="n">
        <x:v>2018</x:v>
      </x:c>
      <x:c r="J504" s="14" t="str">
        <x:v>S06</x:v>
      </x:c>
      <x:c r="K504" s="14" t="str">
        <x:v>HISTORIQUE_CENI_2018_A_VALIDER</x:v>
      </x:c>
    </x:row>
    <x:row r="505">
      <x:c r="A505" s="14" t="n">
        <x:v>502</x:v>
      </x:c>
      <x:c r="B505" s="14" t="n">
        <x:v>75</x:v>
      </x:c>
      <x:c r="C505" s="14" t="str">
        <x:v>SECTEUR</x:v>
      </x:c>
      <x:c r="D505" s="14" t="str">
        <x:v>War-Palara</x:v>
      </x:c>
      <x:c r="E505" s="14"/>
      <x:c r="F505" s="14"/>
      <x:c r="G505" s="14"/>
      <x:c r="H505" s="14"/>
      <x:c r="I505" s="14" t="n">
        <x:v>2018</x:v>
      </x:c>
      <x:c r="J505" s="14" t="str">
        <x:v>S06</x:v>
      </x:c>
      <x:c r="K505" s="14" t="str">
        <x:v>HISTORIQUE_CENI_2018_A_VALIDER</x:v>
      </x:c>
    </x:row>
    <x:row r="506">
      <x:c r="A506" s="14" t="n">
        <x:v>503</x:v>
      </x:c>
      <x:c r="B506" s="14" t="n">
        <x:v>113</x:v>
      </x:c>
      <x:c r="C506" s="14" t="str">
        <x:v>SECTEUR</x:v>
      </x:c>
      <x:c r="D506" s="14" t="str">
        <x:v>Badia</x:v>
      </x:c>
      <x:c r="E506" s="14"/>
      <x:c r="F506" s="14"/>
      <x:c r="G506" s="14"/>
      <x:c r="H506" s="14"/>
      <x:c r="I506" s="14" t="n">
        <x:v>2018</x:v>
      </x:c>
      <x:c r="J506" s="14" t="str">
        <x:v>S06</x:v>
      </x:c>
      <x:c r="K506" s="14" t="str">
        <x:v>HISTORIQUE_CENI_2018_A_VALIDER</x:v>
      </x:c>
    </x:row>
    <x:row r="507">
      <x:c r="A507" s="14" t="n">
        <x:v>504</x:v>
      </x:c>
      <x:c r="B507" s="14" t="n">
        <x:v>113</x:v>
      </x:c>
      <x:c r="C507" s="14" t="str">
        <x:v>CHEFFERIE</x:v>
      </x:c>
      <x:c r="D507" s="14" t="str">
        <x:v>Kayumba</x:v>
      </x:c>
      <x:c r="E507" s="14"/>
      <x:c r="F507" s="14"/>
      <x:c r="G507" s="14"/>
      <x:c r="H507" s="14"/>
      <x:c r="I507" s="14" t="n">
        <x:v>2018</x:v>
      </x:c>
      <x:c r="J507" s="14" t="str">
        <x:v>S06</x:v>
      </x:c>
      <x:c r="K507" s="14" t="str">
        <x:v>HISTORIQUE_CENI_2018_A_VALIDER</x:v>
      </x:c>
    </x:row>
    <x:row r="508">
      <x:c r="A508" s="14" t="n">
        <x:v>505</x:v>
      </x:c>
      <x:c r="B508" s="14" t="n">
        <x:v>113</x:v>
      </x:c>
      <x:c r="C508" s="14" t="str">
        <x:v>CHEFFERIE</x:v>
      </x:c>
      <x:c r="D508" s="14" t="str">
        <x:v>Mulongo</x:v>
      </x:c>
      <x:c r="E508" s="14"/>
      <x:c r="F508" s="14"/>
      <x:c r="G508" s="14"/>
      <x:c r="H508" s="14"/>
      <x:c r="I508" s="14" t="n">
        <x:v>2018</x:v>
      </x:c>
      <x:c r="J508" s="14" t="str">
        <x:v>S06</x:v>
      </x:c>
      <x:c r="K508" s="14" t="str">
        <x:v>HISTORIQUE_CENI_2018_A_VALIDER</x:v>
      </x:c>
    </x:row>
    <x:row r="509">
      <x:c r="A509" s="14" t="n">
        <x:v>506</x:v>
      </x:c>
      <x:c r="B509" s="14" t="n">
        <x:v>113</x:v>
      </x:c>
      <x:c r="C509" s="14" t="str">
        <x:v>CHEFFERIE</x:v>
      </x:c>
      <x:c r="D509" s="14" t="str">
        <x:v>Museka</x:v>
      </x:c>
      <x:c r="E509" s="14"/>
      <x:c r="F509" s="14"/>
      <x:c r="G509" s="14"/>
      <x:c r="H509" s="14"/>
      <x:c r="I509" s="14" t="n">
        <x:v>2018</x:v>
      </x:c>
      <x:c r="J509" s="14" t="str">
        <x:v>S06</x:v>
      </x:c>
      <x:c r="K509" s="14" t="str">
        <x:v>HISTORIQUE_CENI_2018_A_VALIDER</x:v>
      </x:c>
    </x:row>
    <x:row r="510">
      <x:c r="A510" s="14" t="n">
        <x:v>507</x:v>
      </x:c>
      <x:c r="B510" s="14" t="n">
        <x:v>113</x:v>
      </x:c>
      <x:c r="C510" s="14" t="str">
        <x:v>SECTEUR</x:v>
      </x:c>
      <x:c r="D510" s="14" t="str">
        <x:v>Mwanza</x:v>
      </x:c>
      <x:c r="E510" s="14"/>
      <x:c r="F510" s="14"/>
      <x:c r="G510" s="14"/>
      <x:c r="H510" s="14"/>
      <x:c r="I510" s="14" t="n">
        <x:v>2018</x:v>
      </x:c>
      <x:c r="J510" s="14" t="str">
        <x:v>S06</x:v>
      </x:c>
      <x:c r="K510" s="14" t="str">
        <x:v>HISTORIQUE_CENI_2018_A_VALIDER</x:v>
      </x:c>
    </x:row>
    <x:row r="511">
      <x:c r="A511" s="14" t="n">
        <x:v>508</x:v>
      </x:c>
      <x:c r="B511" s="14" t="n">
        <x:v>113</x:v>
      </x:c>
      <x:c r="C511" s="14" t="str">
        <x:v>CHEFFERIE</x:v>
      </x:c>
      <x:c r="D511" s="14" t="str">
        <x:v>Nkulu</x:v>
      </x:c>
      <x:c r="E511" s="14"/>
      <x:c r="F511" s="14"/>
      <x:c r="G511" s="14"/>
      <x:c r="H511" s="14"/>
      <x:c r="I511" s="14" t="n">
        <x:v>2018</x:v>
      </x:c>
      <x:c r="J511" s="14" t="str">
        <x:v>S06</x:v>
      </x:c>
      <x:c r="K511" s="14" t="str">
        <x:v>HISTORIQUE_CENI_2018_A_VALIDER</x:v>
      </x:c>
    </x:row>
    <x:row r="512">
      <x:c r="A512" s="14" t="n">
        <x:v>509</x:v>
      </x:c>
      <x:c r="B512" s="14" t="n">
        <x:v>76</x:v>
      </x:c>
      <x:c r="C512" s="14" t="str">
        <x:v>CHEFFERIE</x:v>
      </x:c>
      <x:c r="D512" s="14" t="str">
        <x:v>Bombo</x:v>
      </x:c>
      <x:c r="E512" s="14"/>
      <x:c r="F512" s="14"/>
      <x:c r="G512" s="14"/>
      <x:c r="H512" s="14"/>
      <x:c r="I512" s="14" t="n">
        <x:v>2018</x:v>
      </x:c>
      <x:c r="J512" s="14" t="str">
        <x:v>S06</x:v>
      </x:c>
      <x:c r="K512" s="14" t="str">
        <x:v>HISTORIQUE_CENI_2018_A_VALIDER</x:v>
      </x:c>
    </x:row>
    <x:row r="513">
      <x:c r="A513" s="14" t="n">
        <x:v>510</x:v>
      </x:c>
      <x:c r="B513" s="14" t="n">
        <x:v>76</x:v>
      </x:c>
      <x:c r="C513" s="14" t="str">
        <x:v>CHEFFERIE</x:v>
      </x:c>
      <x:c r="D513" s="14" t="str">
        <x:v>Bandaka</x:v>
      </x:c>
      <x:c r="E513" s="14"/>
      <x:c r="F513" s="14"/>
      <x:c r="G513" s="14"/>
      <x:c r="H513" s="14"/>
      <x:c r="I513" s="14" t="n">
        <x:v>2018</x:v>
      </x:c>
      <x:c r="J513" s="14" t="str">
        <x:v>S06</x:v>
      </x:c>
      <x:c r="K513" s="14" t="str">
        <x:v>HISTORIQUE_CENI_2018_A_VALIDER</x:v>
      </x:c>
    </x:row>
    <x:row r="514">
      <x:c r="A514" s="14" t="n">
        <x:v>511</x:v>
      </x:c>
      <x:c r="B514" s="14" t="n">
        <x:v>76</x:v>
      </x:c>
      <x:c r="C514" s="14" t="str">
        <x:v>CHEFFERIE</x:v>
      </x:c>
      <x:c r="D514" s="14" t="str">
        <x:v>Babila-Babombi</x:v>
      </x:c>
      <x:c r="E514" s="14"/>
      <x:c r="F514" s="14"/>
      <x:c r="G514" s="14"/>
      <x:c r="H514" s="14"/>
      <x:c r="I514" s="14" t="n">
        <x:v>2018</x:v>
      </x:c>
      <x:c r="J514" s="14" t="str">
        <x:v>S06</x:v>
      </x:c>
      <x:c r="K514" s="14" t="str">
        <x:v>HISTORIQUE_CENI_2018_A_VALIDER</x:v>
      </x:c>
    </x:row>
    <x:row r="515">
      <x:c r="A515" s="14" t="n">
        <x:v>512</x:v>
      </x:c>
      <x:c r="B515" s="14" t="n">
        <x:v>76</x:v>
      </x:c>
      <x:c r="C515" s="14" t="str">
        <x:v>CHEFFERIE</x:v>
      </x:c>
      <x:c r="D515" s="14" t="str">
        <x:v>Mambasa</x:v>
      </x:c>
      <x:c r="E515" s="14"/>
      <x:c r="F515" s="14"/>
      <x:c r="G515" s="14"/>
      <x:c r="H515" s="14"/>
      <x:c r="I515" s="14" t="n">
        <x:v>2018</x:v>
      </x:c>
      <x:c r="J515" s="14" t="str">
        <x:v>S06</x:v>
      </x:c>
      <x:c r="K515" s="14" t="str">
        <x:v>HISTORIQUE_CENI_2018_A_VALIDER</x:v>
      </x:c>
    </x:row>
    <x:row r="516">
      <x:c r="A516" s="14" t="n">
        <x:v>513</x:v>
      </x:c>
      <x:c r="B516" s="14" t="n">
        <x:v>76</x:v>
      </x:c>
      <x:c r="C516" s="14" t="str">
        <x:v>CHEFFERIE</x:v>
      </x:c>
      <x:c r="D516" s="14" t="str">
        <x:v>Walese-Dese</x:v>
      </x:c>
      <x:c r="E516" s="14"/>
      <x:c r="F516" s="14"/>
      <x:c r="G516" s="14"/>
      <x:c r="H516" s="14"/>
      <x:c r="I516" s="14" t="n">
        <x:v>2018</x:v>
      </x:c>
      <x:c r="J516" s="14" t="str">
        <x:v>S06</x:v>
      </x:c>
      <x:c r="K516" s="14" t="str">
        <x:v>HISTORIQUE_CENI_2018_A_VALIDER</x:v>
      </x:c>
    </x:row>
    <x:row r="517">
      <x:c r="A517" s="14" t="n">
        <x:v>514</x:v>
      </x:c>
      <x:c r="B517" s="14" t="n">
        <x:v>76</x:v>
      </x:c>
      <x:c r="C517" s="14" t="str">
        <x:v>CHEFFERIE</x:v>
      </x:c>
      <x:c r="D517" s="14" t="str">
        <x:v>Walese-Karo</x:v>
      </x:c>
      <x:c r="E517" s="14"/>
      <x:c r="F517" s="14"/>
      <x:c r="G517" s="14"/>
      <x:c r="H517" s="14"/>
      <x:c r="I517" s="14" t="n">
        <x:v>2018</x:v>
      </x:c>
      <x:c r="J517" s="14" t="str">
        <x:v>S06</x:v>
      </x:c>
      <x:c r="K517" s="14" t="str">
        <x:v>HISTORIQUE_CENI_2018_A_VALIDER</x:v>
      </x:c>
    </x:row>
    <x:row r="518">
      <x:c r="A518" s="14" t="n">
        <x:v>515</x:v>
      </x:c>
      <x:c r="B518" s="14" t="n">
        <x:v>76</x:v>
      </x:c>
      <x:c r="C518" s="14" t="str">
        <x:v>CHEFFERIE</x:v>
      </x:c>
      <x:c r="D518" s="14" t="str">
        <x:v>Bakwanza</x:v>
      </x:c>
      <x:c r="E518" s="14"/>
      <x:c r="F518" s="14"/>
      <x:c r="G518" s="14"/>
      <x:c r="H518" s="14"/>
      <x:c r="I518" s="14" t="n">
        <x:v>2018</x:v>
      </x:c>
      <x:c r="J518" s="14" t="str">
        <x:v>S06</x:v>
      </x:c>
      <x:c r="K518" s="14" t="str">
        <x:v>HISTORIQUE_CENI_2018_A_VALIDER</x:v>
      </x:c>
    </x:row>
    <x:row r="519">
      <x:c r="A519" s="14" t="n">
        <x:v>516</x:v>
      </x:c>
      <x:c r="B519" s="14" t="n">
        <x:v>35</x:v>
      </x:c>
      <x:c r="C519" s="14" t="str">
        <x:v>SECTEUR</x:v>
      </x:c>
      <x:c r="D519" s="14" t="str">
        <x:v>Bangala</x:v>
      </x:c>
      <x:c r="E519" s="14"/>
      <x:c r="F519" s="14"/>
      <x:c r="G519" s="14"/>
      <x:c r="H519" s="14"/>
      <x:c r="I519" s="14" t="n">
        <x:v>2018</x:v>
      </x:c>
      <x:c r="J519" s="14" t="str">
        <x:v>S06</x:v>
      </x:c>
      <x:c r="K519" s="14" t="str">
        <x:v>HISTORIQUE_CENI_2018_A_VALIDER</x:v>
      </x:c>
    </x:row>
    <x:row r="520">
      <x:c r="A520" s="14" t="n">
        <x:v>517</x:v>
      </x:c>
      <x:c r="B520" s="14" t="n">
        <x:v>35</x:v>
      </x:c>
      <x:c r="C520" s="14" t="str">
        <x:v>SECTEUR</x:v>
      </x:c>
      <x:c r="D520" s="14" t="str">
        <x:v>Mweko</x:v>
      </x:c>
      <x:c r="E520" s="14"/>
      <x:c r="F520" s="14"/>
      <x:c r="G520" s="14"/>
      <x:c r="H520" s="14"/>
      <x:c r="I520" s="14" t="n">
        <x:v>2018</x:v>
      </x:c>
      <x:c r="J520" s="14" t="str">
        <x:v>S06</x:v>
      </x:c>
      <x:c r="K520" s="14" t="str">
        <x:v>HISTORIQUE_CENI_2018_A_VALIDER</x:v>
      </x:c>
    </x:row>
    <x:row r="521">
      <x:c r="A521" s="14" t="n">
        <x:v>518</x:v>
      </x:c>
      <x:c r="B521" s="14" t="n">
        <x:v>35</x:v>
      </x:c>
      <x:c r="C521" s="14" t="str">
        <x:v>SECTEUR</x:v>
      </x:c>
      <x:c r="D521" s="14" t="str">
        <x:v>Ndobo</x:v>
      </x:c>
      <x:c r="E521" s="14"/>
      <x:c r="F521" s="14"/>
      <x:c r="G521" s="14"/>
      <x:c r="H521" s="14"/>
      <x:c r="I521" s="14" t="n">
        <x:v>2018</x:v>
      </x:c>
      <x:c r="J521" s="14" t="str">
        <x:v>S06</x:v>
      </x:c>
      <x:c r="K521" s="14" t="str">
        <x:v>HISTORIQUE_CENI_2018_A_VALIDER</x:v>
      </x:c>
    </x:row>
    <x:row r="522">
      <x:c r="A522" s="14" t="n">
        <x:v>519</x:v>
      </x:c>
      <x:c r="B522" s="14" t="n">
        <x:v>117</x:v>
      </x:c>
      <x:c r="C522" s="14" t="str">
        <x:v>CHEFFERIE</x:v>
      </x:c>
      <x:c r="D522" s="14" t="str">
        <x:v>Bakongolo</x:v>
      </x:c>
      <x:c r="E522" s="14"/>
      <x:c r="F522" s="14"/>
      <x:c r="G522" s="14"/>
      <x:c r="H522" s="14"/>
      <x:c r="I522" s="14" t="n">
        <x:v>2018</x:v>
      </x:c>
      <x:c r="J522" s="14" t="str">
        <x:v>S06</x:v>
      </x:c>
      <x:c r="K522" s="14" t="str">
        <x:v>HISTORIQUE_CENI_2018_A_VALIDER</x:v>
      </x:c>
    </x:row>
    <x:row r="523">
      <x:c r="A523" s="14" t="n">
        <x:v>520</x:v>
      </x:c>
      <x:c r="B523" s="14" t="n">
        <x:v>117</x:v>
      </x:c>
      <x:c r="C523" s="14" t="str">
        <x:v>CHEFFERIE</x:v>
      </x:c>
      <x:c r="D523" s="14" t="str">
        <x:v>Kamalondo</x:v>
      </x:c>
      <x:c r="E523" s="14"/>
      <x:c r="F523" s="14"/>
      <x:c r="G523" s="14"/>
      <x:c r="H523" s="14"/>
      <x:c r="I523" s="14" t="n">
        <x:v>2018</x:v>
      </x:c>
      <x:c r="J523" s="14" t="str">
        <x:v>S06</x:v>
      </x:c>
      <x:c r="K523" s="14" t="str">
        <x:v>HISTORIQUE_CENI_2018_A_VALIDER</x:v>
      </x:c>
    </x:row>
    <x:row r="524">
      <x:c r="A524" s="14" t="n">
        <x:v>521</x:v>
      </x:c>
      <x:c r="B524" s="14" t="n">
        <x:v>117</x:v>
      </x:c>
      <x:c r="C524" s="14" t="str">
        <x:v>CHEFFERIE</x:v>
      </x:c>
      <x:c r="D524" s="14" t="str">
        <x:v>Kiluba</x:v>
      </x:c>
      <x:c r="E524" s="14"/>
      <x:c r="F524" s="14"/>
      <x:c r="G524" s="14"/>
      <x:c r="H524" s="14"/>
      <x:c r="I524" s="14" t="n">
        <x:v>2018</x:v>
      </x:c>
      <x:c r="J524" s="14" t="str">
        <x:v>S06</x:v>
      </x:c>
      <x:c r="K524" s="14" t="str">
        <x:v>HISTORIQUE_CENI_2018_A_VALIDER</x:v>
      </x:c>
    </x:row>
    <x:row r="525">
      <x:c r="A525" s="14" t="n">
        <x:v>522</x:v>
      </x:c>
      <x:c r="B525" s="14" t="n">
        <x:v>117</x:v>
      </x:c>
      <x:c r="C525" s="14" t="str">
        <x:v>SECTEUR</x:v>
      </x:c>
      <x:c r="D525" s="14" t="str">
        <x:v>Kyofwe</x:v>
      </x:c>
      <x:c r="E525" s="14"/>
      <x:c r="F525" s="14"/>
      <x:c r="G525" s="14"/>
      <x:c r="H525" s="14"/>
      <x:c r="I525" s="14" t="n">
        <x:v>2018</x:v>
      </x:c>
      <x:c r="J525" s="14" t="str">
        <x:v>S06</x:v>
      </x:c>
      <x:c r="K525" s="14" t="str">
        <x:v>HISTORIQUE_CENI_2018_A_VALIDER</x:v>
      </x:c>
    </x:row>
    <x:row r="526">
      <x:c r="A526" s="14" t="n">
        <x:v>523</x:v>
      </x:c>
      <x:c r="B526" s="14" t="n">
        <x:v>117</x:v>
      </x:c>
      <x:c r="C526" s="14" t="str">
        <x:v>SECTEUR</x:v>
      </x:c>
      <x:c r="D526" s="14" t="str">
        <x:v>Luvua</x:v>
      </x:c>
      <x:c r="E526" s="14"/>
      <x:c r="F526" s="14"/>
      <x:c r="G526" s="14"/>
      <x:c r="H526" s="14"/>
      <x:c r="I526" s="14" t="n">
        <x:v>2018</x:v>
      </x:c>
      <x:c r="J526" s="14" t="str">
        <x:v>S06</x:v>
      </x:c>
      <x:c r="K526" s="14" t="str">
        <x:v>HISTORIQUE_CENI_2018_A_VALIDER</x:v>
      </x:c>
    </x:row>
    <x:row r="527">
      <x:c r="A527" s="14" t="n">
        <x:v>524</x:v>
      </x:c>
      <x:c r="B527" s="14" t="n">
        <x:v>117</x:v>
      </x:c>
      <x:c r="C527" s="14" t="str">
        <x:v>SECTEUR</x:v>
      </x:c>
      <x:c r="D527" s="14" t="str">
        <x:v>Niemba</x:v>
      </x:c>
      <x:c r="E527" s="14"/>
      <x:c r="F527" s="14"/>
      <x:c r="G527" s="14"/>
      <x:c r="H527" s="14"/>
      <x:c r="I527" s="14" t="n">
        <x:v>2018</x:v>
      </x:c>
      <x:c r="J527" s="14" t="str">
        <x:v>S06</x:v>
      </x:c>
      <x:c r="K527" s="14" t="str">
        <x:v>HISTORIQUE_CENI_2018_A_VALIDER</x:v>
      </x:c>
    </x:row>
    <x:row r="528">
      <x:c r="A528" s="14" t="n">
        <x:v>525</x:v>
      </x:c>
      <x:c r="B528" s="14" t="n">
        <x:v>20</x:v>
      </x:c>
      <x:c r="C528" s="14" t="str">
        <x:v>SECTEUR</x:v>
      </x:c>
      <x:c r="D528" s="14" t="str">
        <x:v>Bindungi</x:v>
      </x:c>
      <x:c r="E528" s="14"/>
      <x:c r="F528" s="14"/>
      <x:c r="G528" s="14"/>
      <x:c r="H528" s="14"/>
      <x:c r="I528" s="14" t="n">
        <x:v>2018</x:v>
      </x:c>
      <x:c r="J528" s="14" t="str">
        <x:v>S06</x:v>
      </x:c>
      <x:c r="K528" s="14" t="str">
        <x:v>HISTORIQUE_CENI_2018_A_VALIDER</x:v>
      </x:c>
    </x:row>
    <x:row r="529">
      <x:c r="A529" s="14" t="n">
        <x:v>526</x:v>
      </x:c>
      <x:c r="B529" s="14" t="n">
        <x:v>20</x:v>
      </x:c>
      <x:c r="C529" s="14" t="str">
        <x:v>SECTEUR</x:v>
      </x:c>
      <x:c r="D529" s="14" t="str">
        <x:v>Kibolo</x:v>
      </x:c>
      <x:c r="E529" s="14"/>
      <x:c r="F529" s="14"/>
      <x:c r="G529" s="14"/>
      <x:c r="H529" s="14"/>
      <x:c r="I529" s="14" t="n">
        <x:v>2018</x:v>
      </x:c>
      <x:c r="J529" s="14" t="str">
        <x:v>S06</x:v>
      </x:c>
      <x:c r="K529" s="14" t="str">
        <x:v>HISTORIQUE_CENI_2018_A_VALIDER</x:v>
      </x:c>
    </x:row>
    <x:row r="530">
      <x:c r="A530" s="14" t="n">
        <x:v>527</x:v>
      </x:c>
      <x:c r="B530" s="14" t="n">
        <x:v>20</x:v>
      </x:c>
      <x:c r="C530" s="14" t="str">
        <x:v>SECTEUR</x:v>
      </x:c>
      <x:c r="D530" s="14" t="str">
        <x:v>Kinzenga</x:v>
      </x:c>
      <x:c r="E530" s="14"/>
      <x:c r="F530" s="14"/>
      <x:c r="G530" s="14"/>
      <x:c r="H530" s="14"/>
      <x:c r="I530" s="14" t="n">
        <x:v>2018</x:v>
      </x:c>
      <x:c r="J530" s="14" t="str">
        <x:v>S06</x:v>
      </x:c>
      <x:c r="K530" s="14" t="str">
        <x:v>HISTORIQUE_CENI_2018_A_VALIDER</x:v>
      </x:c>
    </x:row>
    <x:row r="531">
      <x:c r="A531" s="14" t="n">
        <x:v>528</x:v>
      </x:c>
      <x:c r="B531" s="14" t="n">
        <x:v>20</x:v>
      </x:c>
      <x:c r="C531" s="14" t="str">
        <x:v>SECTEUR</x:v>
      </x:c>
      <x:c r="D531" s="14" t="str">
        <x:v>Kinzenzengo</x:v>
      </x:c>
      <x:c r="E531" s="14"/>
      <x:c r="F531" s="14"/>
      <x:c r="G531" s="14"/>
      <x:c r="H531" s="14"/>
      <x:c r="I531" s="14" t="n">
        <x:v>2018</x:v>
      </x:c>
      <x:c r="J531" s="14" t="str">
        <x:v>S06</x:v>
      </x:c>
      <x:c r="K531" s="14" t="str">
        <x:v>HISTORIQUE_CENI_2018_A_VALIDER</x:v>
      </x:c>
    </x:row>
    <x:row r="532">
      <x:c r="A532" s="14" t="n">
        <x:v>529</x:v>
      </x:c>
      <x:c r="B532" s="14" t="n">
        <x:v>20</x:v>
      </x:c>
      <x:c r="C532" s="14" t="str">
        <x:v>SECTEUR</x:v>
      </x:c>
      <x:c r="D532" s="14" t="str">
        <x:v>Kitoy</x:v>
      </x:c>
      <x:c r="E532" s="14"/>
      <x:c r="F532" s="14"/>
      <x:c r="G532" s="14"/>
      <x:c r="H532" s="14"/>
      <x:c r="I532" s="14" t="n">
        <x:v>2018</x:v>
      </x:c>
      <x:c r="J532" s="14" t="str">
        <x:v>S06</x:v>
      </x:c>
      <x:c r="K532" s="14" t="str">
        <x:v>HISTORIQUE_CENI_2018_A_VALIDER</x:v>
      </x:c>
    </x:row>
    <x:row r="533">
      <x:c r="A533" s="14" t="n">
        <x:v>530</x:v>
      </x:c>
      <x:c r="B533" s="14" t="n">
        <x:v>20</x:v>
      </x:c>
      <x:c r="C533" s="14" t="str">
        <x:v>SECTEUR</x:v>
      </x:c>
      <x:c r="D533" s="14" t="str">
        <x:v>Masi-Manimba</x:v>
      </x:c>
      <x:c r="E533" s="14"/>
      <x:c r="F533" s="14"/>
      <x:c r="G533" s="14"/>
      <x:c r="H533" s="14"/>
      <x:c r="I533" s="14" t="n">
        <x:v>2018</x:v>
      </x:c>
      <x:c r="J533" s="14" t="str">
        <x:v>S06</x:v>
      </x:c>
      <x:c r="K533" s="14" t="str">
        <x:v>HISTORIQUE_CENI_2018_A_VALIDER</x:v>
      </x:c>
    </x:row>
    <x:row r="534">
      <x:c r="A534" s="14" t="n">
        <x:v>531</x:v>
      </x:c>
      <x:c r="B534" s="14" t="n">
        <x:v>20</x:v>
      </x:c>
      <x:c r="C534" s="14" t="str">
        <x:v>SECTEUR</x:v>
      </x:c>
      <x:c r="D534" s="14" t="str">
        <x:v>Mokamo</x:v>
      </x:c>
      <x:c r="E534" s="14"/>
      <x:c r="F534" s="14"/>
      <x:c r="G534" s="14"/>
      <x:c r="H534" s="14"/>
      <x:c r="I534" s="14" t="n">
        <x:v>2018</x:v>
      </x:c>
      <x:c r="J534" s="14" t="str">
        <x:v>S06</x:v>
      </x:c>
      <x:c r="K534" s="14" t="str">
        <x:v>HISTORIQUE_CENI_2018_A_VALIDER</x:v>
      </x:c>
    </x:row>
    <x:row r="535">
      <x:c r="A535" s="14" t="n">
        <x:v>532</x:v>
      </x:c>
      <x:c r="B535" s="14" t="n">
        <x:v>20</x:v>
      </x:c>
      <x:c r="C535" s="14" t="str">
        <x:v>SECTEUR</x:v>
      </x:c>
      <x:c r="D535" s="14" t="str">
        <x:v>Mosango</x:v>
      </x:c>
      <x:c r="E535" s="14"/>
      <x:c r="F535" s="14"/>
      <x:c r="G535" s="14"/>
      <x:c r="H535" s="14"/>
      <x:c r="I535" s="14" t="n">
        <x:v>2018</x:v>
      </x:c>
      <x:c r="J535" s="14" t="str">
        <x:v>S06</x:v>
      </x:c>
      <x:c r="K535" s="14" t="str">
        <x:v>HISTORIQUE_CENI_2018_A_VALIDER</x:v>
      </x:c>
    </x:row>
    <x:row r="536">
      <x:c r="A536" s="14" t="n">
        <x:v>533</x:v>
      </x:c>
      <x:c r="B536" s="14" t="n">
        <x:v>20</x:v>
      </x:c>
      <x:c r="C536" s="14" t="str">
        <x:v>SECTEUR</x:v>
      </x:c>
      <x:c r="D536" s="14" t="str">
        <x:v>Pay-Kongila</x:v>
      </x:c>
      <x:c r="E536" s="14"/>
      <x:c r="F536" s="14"/>
      <x:c r="G536" s="14"/>
      <x:c r="H536" s="14"/>
      <x:c r="I536" s="14" t="n">
        <x:v>2018</x:v>
      </x:c>
      <x:c r="J536" s="14" t="str">
        <x:v>S06</x:v>
      </x:c>
      <x:c r="K536" s="14" t="str">
        <x:v>HISTORIQUE_CENI_2018_A_VALIDER</x:v>
      </x:c>
    </x:row>
    <x:row r="537">
      <x:c r="A537" s="14" t="n">
        <x:v>534</x:v>
      </x:c>
      <x:c r="B537" s="14" t="n">
        <x:v>20</x:v>
      </x:c>
      <x:c r="C537" s="14" t="str">
        <x:v>SECTEUR</x:v>
      </x:c>
      <x:c r="D537" s="14" t="str">
        <x:v>Sungu</x:v>
      </x:c>
      <x:c r="E537" s="14"/>
      <x:c r="F537" s="14"/>
      <x:c r="G537" s="14"/>
      <x:c r="H537" s="14"/>
      <x:c r="I537" s="14" t="n">
        <x:v>2018</x:v>
      </x:c>
      <x:c r="J537" s="14" t="str">
        <x:v>S06</x:v>
      </x:c>
      <x:c r="K537" s="14" t="str">
        <x:v>HISTORIQUE_CENI_2018_A_VALIDER</x:v>
      </x:c>
    </x:row>
    <x:row r="538">
      <x:c r="A538" s="14" t="n">
        <x:v>535</x:v>
      </x:c>
      <x:c r="B538" s="14" t="n">
        <x:v>79</x:v>
      </x:c>
      <x:c r="C538" s="14" t="str">
        <x:v>CHEFFERIE</x:v>
      </x:c>
      <x:c r="D538" s="14" t="str">
        <x:v>Bahunde</x:v>
      </x:c>
      <x:c r="E538" s="14"/>
      <x:c r="F538" s="14"/>
      <x:c r="G538" s="14"/>
      <x:c r="H538" s="14"/>
      <x:c r="I538" s="14" t="n">
        <x:v>2018</x:v>
      </x:c>
      <x:c r="J538" s="14" t="str">
        <x:v>S06</x:v>
      </x:c>
      <x:c r="K538" s="14" t="str">
        <x:v>HISTORIQUE_CENI_2018_A_VALIDER</x:v>
      </x:c>
    </x:row>
    <x:row r="539">
      <x:c r="A539" s="14" t="n">
        <x:v>536</x:v>
      </x:c>
      <x:c r="B539" s="14" t="n">
        <x:v>79</x:v>
      </x:c>
      <x:c r="C539" s="14" t="str">
        <x:v>CHEFFERIE</x:v>
      </x:c>
      <x:c r="D539" s="14" t="str">
        <x:v>Bashali</x:v>
      </x:c>
      <x:c r="E539" s="14"/>
      <x:c r="F539" s="14"/>
      <x:c r="G539" s="14"/>
      <x:c r="H539" s="14"/>
      <x:c r="I539" s="14" t="n">
        <x:v>2018</x:v>
      </x:c>
      <x:c r="J539" s="14" t="str">
        <x:v>S06</x:v>
      </x:c>
      <x:c r="K539" s="14" t="str">
        <x:v>HISTORIQUE_CENI_2018_A_VALIDER</x:v>
      </x:c>
    </x:row>
    <x:row r="540">
      <x:c r="A540" s="14" t="n">
        <x:v>537</x:v>
      </x:c>
      <x:c r="B540" s="14" t="n">
        <x:v>79</x:v>
      </x:c>
      <x:c r="C540" s="14" t="str">
        <x:v>SECTEUR</x:v>
      </x:c>
      <x:c r="D540" s="14" t="str">
        <x:v>Osso</x:v>
      </x:c>
      <x:c r="E540" s="14"/>
      <x:c r="F540" s="14"/>
      <x:c r="G540" s="14"/>
      <x:c r="H540" s="14"/>
      <x:c r="I540" s="14" t="n">
        <x:v>2018</x:v>
      </x:c>
      <x:c r="J540" s="14" t="str">
        <x:v>S06</x:v>
      </x:c>
      <x:c r="K540" s="14" t="str">
        <x:v>HISTORIQUE_CENI_2018_A_VALIDER</x:v>
      </x:c>
    </x:row>
    <x:row r="541">
      <x:c r="A541" s="14" t="n">
        <x:v>538</x:v>
      </x:c>
      <x:c r="B541" s="14" t="n">
        <x:v>79</x:v>
      </x:c>
      <x:c r="C541" s="14" t="str">
        <x:v>SECTEUR</x:v>
      </x:c>
      <x:c r="D541" s="14" t="str">
        <x:v>Katoyi</x:v>
      </x:c>
      <x:c r="E541" s="14"/>
      <x:c r="F541" s="14"/>
      <x:c r="G541" s="14"/>
      <x:c r="H541" s="14"/>
      <x:c r="I541" s="14" t="n">
        <x:v>2018</x:v>
      </x:c>
      <x:c r="J541" s="14" t="str">
        <x:v>S06</x:v>
      </x:c>
      <x:c r="K541" s="14" t="str">
        <x:v>HISTORIQUE_CENI_2018_A_VALIDER</x:v>
      </x:c>
    </x:row>
    <x:row r="542">
      <x:c r="A542" s="14" t="n">
        <x:v>539</x:v>
      </x:c>
      <x:c r="B542" s="14" t="n">
        <x:v>6</x:v>
      </x:c>
      <x:c r="C542" s="14" t="str">
        <x:v>SECTEUR</x:v>
      </x:c>
      <x:c r="D542" s="14" t="str">
        <x:v>Boko</x:v>
      </x:c>
      <x:c r="E542" s="14"/>
      <x:c r="F542" s="14"/>
      <x:c r="G542" s="14"/>
      <x:c r="H542" s="14"/>
      <x:c r="I542" s="14" t="n">
        <x:v>2018</x:v>
      </x:c>
      <x:c r="J542" s="14" t="str">
        <x:v>S06</x:v>
      </x:c>
      <x:c r="K542" s="14" t="str">
        <x:v>HISTORIQUE_CENI_2018_A_VALIDER</x:v>
      </x:c>
    </x:row>
    <x:row r="543">
      <x:c r="A543" s="14" t="n">
        <x:v>540</x:v>
      </x:c>
      <x:c r="B543" s="14" t="n">
        <x:v>6</x:v>
      </x:c>
      <x:c r="C543" s="14" t="str">
        <x:v>SECTEUR</x:v>
      </x:c>
      <x:c r="D543" s="14" t="str">
        <x:v>Gombe-Matadi</x:v>
      </x:c>
      <x:c r="E543" s="14"/>
      <x:c r="F543" s="14"/>
      <x:c r="G543" s="14"/>
      <x:c r="H543" s="14"/>
      <x:c r="I543" s="14" t="n">
        <x:v>2018</x:v>
      </x:c>
      <x:c r="J543" s="14" t="str">
        <x:v>S06</x:v>
      </x:c>
      <x:c r="K543" s="14" t="str">
        <x:v>HISTORIQUE_CENI_2018_A_VALIDER</x:v>
      </x:c>
    </x:row>
    <x:row r="544">
      <x:c r="A544" s="14" t="n">
        <x:v>541</x:v>
      </x:c>
      <x:c r="B544" s="14" t="n">
        <x:v>6</x:v>
      </x:c>
      <x:c r="C544" s="14" t="str">
        <x:v>SECTEUR</x:v>
      </x:c>
      <x:c r="D544" s="14" t="str">
        <x:v>Gombe-Sud</x:v>
      </x:c>
      <x:c r="E544" s="14"/>
      <x:c r="F544" s="14"/>
      <x:c r="G544" s="14"/>
      <x:c r="H544" s="14"/>
      <x:c r="I544" s="14" t="n">
        <x:v>2018</x:v>
      </x:c>
      <x:c r="J544" s="14" t="str">
        <x:v>S06</x:v>
      </x:c>
      <x:c r="K544" s="14" t="str">
        <x:v>HISTORIQUE_CENI_2018_A_VALIDER</x:v>
      </x:c>
    </x:row>
    <x:row r="545">
      <x:c r="A545" s="14" t="n">
        <x:v>542</x:v>
      </x:c>
      <x:c r="B545" s="14" t="n">
        <x:v>6</x:v>
      </x:c>
      <x:c r="C545" s="14" t="str">
        <x:v>SECTEUR</x:v>
      </x:c>
      <x:c r="D545" s="14" t="str">
        <x:v>Kivulu</x:v>
      </x:c>
      <x:c r="E545" s="14"/>
      <x:c r="F545" s="14"/>
      <x:c r="G545" s="14"/>
      <x:c r="H545" s="14"/>
      <x:c r="I545" s="14" t="n">
        <x:v>2018</x:v>
      </x:c>
      <x:c r="J545" s="14" t="str">
        <x:v>S06</x:v>
      </x:c>
      <x:c r="K545" s="14" t="str">
        <x:v>HISTORIQUE_CENI_2018_A_VALIDER</x:v>
      </x:c>
    </x:row>
    <x:row r="546">
      <x:c r="A546" s="14" t="n">
        <x:v>543</x:v>
      </x:c>
      <x:c r="B546" s="14" t="n">
        <x:v>6</x:v>
      </x:c>
      <x:c r="C546" s="14" t="str">
        <x:v>SECTEUR</x:v>
      </x:c>
      <x:c r="D546" s="14" t="str">
        <x:v>Kwilu-Ngongo</x:v>
      </x:c>
      <x:c r="E546" s="14"/>
      <x:c r="F546" s="14"/>
      <x:c r="G546" s="14"/>
      <x:c r="H546" s="14"/>
      <x:c r="I546" s="14" t="n">
        <x:v>2018</x:v>
      </x:c>
      <x:c r="J546" s="14" t="str">
        <x:v>S06</x:v>
      </x:c>
      <x:c r="K546" s="14" t="str">
        <x:v>HISTORIQUE_CENI_2018_A_VALIDER</x:v>
      </x:c>
    </x:row>
    <x:row r="547">
      <x:c r="A547" s="14" t="n">
        <x:v>544</x:v>
      </x:c>
      <x:c r="B547" s="14" t="n">
        <x:v>6</x:v>
      </x:c>
      <x:c r="C547" s="14" t="str">
        <x:v>SECTEUR</x:v>
      </x:c>
      <x:c r="D547" s="14" t="str">
        <x:v>Lunzadi</x:v>
      </x:c>
      <x:c r="E547" s="14"/>
      <x:c r="F547" s="14"/>
      <x:c r="G547" s="14"/>
      <x:c r="H547" s="14"/>
      <x:c r="I547" s="14" t="n">
        <x:v>2018</x:v>
      </x:c>
      <x:c r="J547" s="14" t="str">
        <x:v>S06</x:v>
      </x:c>
      <x:c r="K547" s="14" t="str">
        <x:v>HISTORIQUE_CENI_2018_A_VALIDER</x:v>
      </x:c>
    </x:row>
    <x:row r="548">
      <x:c r="A548" s="14" t="n">
        <x:v>545</x:v>
      </x:c>
      <x:c r="B548" s="14" t="n">
        <x:v>6</x:v>
      </x:c>
      <x:c r="C548" s="14" t="str">
        <x:v>SECTEUR</x:v>
      </x:c>
      <x:c r="D548" s="14" t="str">
        <x:v>Ntimansi</x:v>
      </x:c>
      <x:c r="E548" s="14"/>
      <x:c r="F548" s="14"/>
      <x:c r="G548" s="14"/>
      <x:c r="H548" s="14"/>
      <x:c r="I548" s="14" t="n">
        <x:v>2018</x:v>
      </x:c>
      <x:c r="J548" s="14" t="str">
        <x:v>S06</x:v>
      </x:c>
      <x:c r="K548" s="14" t="str">
        <x:v>HISTORIQUE_CENI_2018_A_VALIDER</x:v>
      </x:c>
    </x:row>
    <x:row r="549">
      <x:c r="A549" s="14" t="n">
        <x:v>546</x:v>
      </x:c>
      <x:c r="B549" s="14" t="n">
        <x:v>128</x:v>
      </x:c>
      <x:c r="C549" s="14" t="str">
        <x:v>SECTEUR</x:v>
      </x:c>
      <x:c r="D549" s="14" t="str">
        <x:v>Kakangayi</x:v>
      </x:c>
      <x:c r="E549" s="14"/>
      <x:c r="F549" s="14"/>
      <x:c r="G549" s="14"/>
      <x:c r="H549" s="14"/>
      <x:c r="I549" s="14" t="n">
        <x:v>2018</x:v>
      </x:c>
      <x:c r="J549" s="14" t="str">
        <x:v>S06</x:v>
      </x:c>
      <x:c r="K549" s="14" t="str">
        <x:v>HISTORIQUE_CENI_2018_A_VALIDER</x:v>
      </x:c>
    </x:row>
    <x:row r="550">
      <x:c r="A550" s="14" t="n">
        <x:v>547</x:v>
      </x:c>
      <x:c r="B550" s="14" t="n">
        <x:v>128</x:v>
      </x:c>
      <x:c r="C550" s="14" t="str">
        <x:v>SECTEUR</x:v>
      </x:c>
      <x:c r="D550" s="14" t="str">
        <x:v>Movo-Nkatshia</x:v>
      </x:c>
      <x:c r="E550" s="14"/>
      <x:c r="F550" s="14"/>
      <x:c r="G550" s="14"/>
      <x:c r="H550" s="14"/>
      <x:c r="I550" s="14" t="n">
        <x:v>2018</x:v>
      </x:c>
      <x:c r="J550" s="14" t="str">
        <x:v>S06</x:v>
      </x:c>
      <x:c r="K550" s="14" t="str">
        <x:v>HISTORIQUE_CENI_2018_A_VALIDER</x:v>
      </x:c>
    </x:row>
    <x:row r="551">
      <x:c r="A551" s="14" t="n">
        <x:v>548</x:v>
      </x:c>
      <x:c r="B551" s="14" t="n">
        <x:v>128</x:v>
      </x:c>
      <x:c r="C551" s="14" t="str">
        <x:v>SECTEUR</x:v>
      </x:c>
      <x:c r="D551" s="14" t="str">
        <x:v>Tshijiba</x:v>
      </x:c>
      <x:c r="E551" s="14"/>
      <x:c r="F551" s="14"/>
      <x:c r="G551" s="14"/>
      <x:c r="H551" s="14"/>
      <x:c r="I551" s="14" t="n">
        <x:v>2018</x:v>
      </x:c>
      <x:c r="J551" s="14" t="str">
        <x:v>S06</x:v>
      </x:c>
      <x:c r="K551" s="14" t="str">
        <x:v>HISTORIQUE_CENI_2018_A_VALIDER</x:v>
      </x:c>
    </x:row>
    <x:row r="552">
      <x:c r="A552" s="14" t="n">
        <x:v>549</x:v>
      </x:c>
      <x:c r="B552" s="14" t="n">
        <x:v>128</x:v>
      </x:c>
      <x:c r="C552" s="14" t="str">
        <x:v>SECTEUR</x:v>
      </x:c>
      <x:c r="D552" s="14" t="str">
        <x:v>Tshilundu</x:v>
      </x:c>
      <x:c r="E552" s="14"/>
      <x:c r="F552" s="14"/>
      <x:c r="G552" s="14"/>
      <x:c r="H552" s="14"/>
      <x:c r="I552" s="14" t="n">
        <x:v>2018</x:v>
      </x:c>
      <x:c r="J552" s="14" t="str">
        <x:v>S06</x:v>
      </x:c>
      <x:c r="K552" s="14" t="str">
        <x:v>HISTORIQUE_CENI_2018_A_VALIDER</x:v>
      </x:c>
    </x:row>
    <x:row r="553">
      <x:c r="A553" s="14" t="n">
        <x:v>550</x:v>
      </x:c>
      <x:c r="B553" s="14" t="n">
        <x:v>101</x:v>
      </x:c>
      <x:c r="C553" s="14" t="str">
        <x:v>SECTEUR</x:v>
      </x:c>
      <x:c r="D553" s="14" t="str">
        <x:v>Balomotwa</x:v>
      </x:c>
      <x:c r="E553" s="14"/>
      <x:c r="F553" s="14"/>
      <x:c r="G553" s="14"/>
      <x:c r="H553" s="14"/>
      <x:c r="I553" s="14" t="n">
        <x:v>2018</x:v>
      </x:c>
      <x:c r="J553" s="14" t="str">
        <x:v>S06</x:v>
      </x:c>
      <x:c r="K553" s="14" t="str">
        <x:v>HISTORIQUE_CENI_2018_A_VALIDER</x:v>
      </x:c>
    </x:row>
    <x:row r="554">
      <x:c r="A554" s="14" t="n">
        <x:v>551</x:v>
      </x:c>
      <x:c r="B554" s="14" t="n">
        <x:v>101</x:v>
      </x:c>
      <x:c r="C554" s="14" t="str">
        <x:v>SECTEUR</x:v>
      </x:c>
      <x:c r="D554" s="14" t="str">
        <x:v>Banweshi</x:v>
      </x:c>
      <x:c r="E554" s="14"/>
      <x:c r="F554" s="14"/>
      <x:c r="G554" s="14"/>
      <x:c r="H554" s="14"/>
      <x:c r="I554" s="14" t="n">
        <x:v>2018</x:v>
      </x:c>
      <x:c r="J554" s="14" t="str">
        <x:v>S06</x:v>
      </x:c>
      <x:c r="K554" s="14" t="str">
        <x:v>HISTORIQUE_CENI_2018_A_VALIDER</x:v>
      </x:c>
    </x:row>
    <x:row r="555">
      <x:c r="A555" s="14" t="n">
        <x:v>552</x:v>
      </x:c>
      <x:c r="B555" s="14" t="n">
        <x:v>101</x:v>
      </x:c>
      <x:c r="C555" s="14" t="str">
        <x:v>CHEFFERIE</x:v>
      </x:c>
      <x:c r="D555" s="14" t="str">
        <x:v>Kiona-Ngoie</x:v>
      </x:c>
      <x:c r="E555" s="14"/>
      <x:c r="F555" s="14"/>
      <x:c r="G555" s="14"/>
      <x:c r="H555" s="14"/>
      <x:c r="I555" s="14" t="n">
        <x:v>2018</x:v>
      </x:c>
      <x:c r="J555" s="14" t="str">
        <x:v>S06</x:v>
      </x:c>
      <x:c r="K555" s="14" t="str">
        <x:v>HISTORIQUE_CENI_2018_A_VALIDER</x:v>
      </x:c>
    </x:row>
    <x:row r="556">
      <x:c r="A556" s="14" t="n">
        <x:v>553</x:v>
      </x:c>
      <x:c r="B556" s="14" t="n">
        <x:v>7</x:v>
      </x:c>
      <x:c r="C556" s="14" t="str">
        <x:v>SECTEUR</x:v>
      </x:c>
      <x:c r="D556" s="14" t="str">
        <x:v>Assolongo</x:v>
      </x:c>
      <x:c r="E556" s="14"/>
      <x:c r="F556" s="14"/>
      <x:c r="G556" s="14"/>
      <x:c r="H556" s="14"/>
      <x:c r="I556" s="14" t="n">
        <x:v>2018</x:v>
      </x:c>
      <x:c r="J556" s="14" t="str">
        <x:v>S06</x:v>
      </x:c>
      <x:c r="K556" s="14" t="str">
        <x:v>HISTORIQUE_CENI_2018_A_VALIDER</x:v>
      </x:c>
    </x:row>
    <x:row r="557">
      <x:c r="A557" s="14" t="n">
        <x:v>554</x:v>
      </x:c>
      <x:c r="B557" s="14" t="n">
        <x:v>7</x:v>
      </x:c>
      <x:c r="C557" s="14" t="str">
        <x:v>SECTEUR</x:v>
      </x:c>
      <x:c r="D557" s="14" t="str">
        <x:v>Boma-Bungu</x:v>
      </x:c>
      <x:c r="E557" s="14"/>
      <x:c r="F557" s="14"/>
      <x:c r="G557" s="14"/>
      <x:c r="H557" s="14"/>
      <x:c r="I557" s="14" t="n">
        <x:v>2018</x:v>
      </x:c>
      <x:c r="J557" s="14" t="str">
        <x:v>S06</x:v>
      </x:c>
      <x:c r="K557" s="14" t="str">
        <x:v>HISTORIQUE_CENI_2018_A_VALIDER</x:v>
      </x:c>
    </x:row>
    <x:row r="558">
      <x:c r="A558" s="14" t="n">
        <x:v>555</x:v>
      </x:c>
      <x:c r="B558" s="14" t="n">
        <x:v>7</x:v>
      </x:c>
      <x:c r="C558" s="14" t="str">
        <x:v>SECTEUR</x:v>
      </x:c>
      <x:c r="D558" s="14" t="str">
        <x:v>La Mer</x:v>
      </x:c>
      <x:c r="E558" s="14"/>
      <x:c r="F558" s="14"/>
      <x:c r="G558" s="14"/>
      <x:c r="H558" s="14"/>
      <x:c r="I558" s="14" t="n">
        <x:v>2018</x:v>
      </x:c>
      <x:c r="J558" s="14" t="str">
        <x:v>S06</x:v>
      </x:c>
      <x:c r="K558" s="14" t="str">
        <x:v>HISTORIQUE_CENI_2018_A_VALIDER</x:v>
      </x:c>
    </x:row>
    <x:row r="559">
      <x:c r="A559" s="14" t="n">
        <x:v>556</x:v>
      </x:c>
      <x:c r="B559" s="14" t="n">
        <x:v>118</x:v>
      </x:c>
      <x:c r="C559" s="14" t="str">
        <x:v>SECTEUR</x:v>
      </x:c>
      <x:c r="D559" s="14" t="str">
        <x:v>Bena-Kamanya</x:v>
      </x:c>
      <x:c r="E559" s="14"/>
      <x:c r="F559" s="14"/>
      <x:c r="G559" s="14"/>
      <x:c r="H559" s="14"/>
      <x:c r="I559" s="14" t="n">
        <x:v>2018</x:v>
      </x:c>
      <x:c r="J559" s="14" t="str">
        <x:v>S06</x:v>
      </x:c>
      <x:c r="K559" s="14" t="str">
        <x:v>HISTORIQUE_CENI_2018_A_VALIDER</x:v>
      </x:c>
    </x:row>
    <x:row r="560">
      <x:c r="A560" s="14" t="n">
        <x:v>557</x:v>
      </x:c>
      <x:c r="B560" s="14" t="n">
        <x:v>118</x:v>
      </x:c>
      <x:c r="C560" s="14" t="str">
        <x:v>CHEFFERIE</x:v>
      </x:c>
      <x:c r="D560" s="14" t="str">
        <x:v>Bena-Tanga</x:v>
      </x:c>
      <x:c r="E560" s="14"/>
      <x:c r="F560" s="14"/>
      <x:c r="G560" s="14"/>
      <x:c r="H560" s="14"/>
      <x:c r="I560" s="14" t="n">
        <x:v>2018</x:v>
      </x:c>
      <x:c r="J560" s="14" t="str">
        <x:v>S06</x:v>
      </x:c>
      <x:c r="K560" s="14" t="str">
        <x:v>HISTORIQUE_CENI_2018_A_VALIDER</x:v>
      </x:c>
    </x:row>
    <x:row r="561">
      <x:c r="A561" s="14" t="n">
        <x:v>558</x:v>
      </x:c>
      <x:c r="B561" s="14" t="n">
        <x:v>118</x:v>
      </x:c>
      <x:c r="C561" s="14" t="str">
        <x:v>CHEFFERIE</x:v>
      </x:c>
      <x:c r="D561" s="14" t="str">
        <x:v>Kansabala</x:v>
      </x:c>
      <x:c r="E561" s="14"/>
      <x:c r="F561" s="14"/>
      <x:c r="G561" s="14"/>
      <x:c r="H561" s="14"/>
      <x:c r="I561" s="14" t="n">
        <x:v>2018</x:v>
      </x:c>
      <x:c r="J561" s="14" t="str">
        <x:v>S06</x:v>
      </x:c>
      <x:c r="K561" s="14" t="str">
        <x:v>HISTORIQUE_CENI_2018_A_VALIDER</x:v>
      </x:c>
    </x:row>
    <x:row r="562">
      <x:c r="A562" s="14" t="n">
        <x:v>559</x:v>
      </x:c>
      <x:c r="B562" s="14" t="n">
        <x:v>118</x:v>
      </x:c>
      <x:c r="C562" s="14" t="str">
        <x:v>CHEFFERIE</x:v>
      </x:c>
      <x:c r="D562" s="14" t="str">
        <x:v>Kayabala</x:v>
      </x:c>
      <x:c r="E562" s="14"/>
      <x:c r="F562" s="14"/>
      <x:c r="G562" s="14"/>
      <x:c r="H562" s="14"/>
      <x:c r="I562" s="14" t="n">
        <x:v>2018</x:v>
      </x:c>
      <x:c r="J562" s="14" t="str">
        <x:v>S06</x:v>
      </x:c>
      <x:c r="K562" s="14" t="str">
        <x:v>HISTORIQUE_CENI_2018_A_VALIDER</x:v>
      </x:c>
    </x:row>
    <x:row r="563">
      <x:c r="A563" s="14" t="n">
        <x:v>560</x:v>
      </x:c>
      <x:c r="B563" s="14" t="n">
        <x:v>118</x:v>
      </x:c>
      <x:c r="C563" s="14" t="str">
        <x:v>CHEFFERIE</x:v>
      </x:c>
      <x:c r="D563" s="14" t="str">
        <x:v>Manda</x:v>
      </x:c>
      <x:c r="E563" s="14"/>
      <x:c r="F563" s="14"/>
      <x:c r="G563" s="14"/>
      <x:c r="H563" s="14"/>
      <x:c r="I563" s="14" t="n">
        <x:v>2018</x:v>
      </x:c>
      <x:c r="J563" s="14" t="str">
        <x:v>S06</x:v>
      </x:c>
      <x:c r="K563" s="14" t="str">
        <x:v>HISTORIQUE_CENI_2018_A_VALIDER</x:v>
      </x:c>
    </x:row>
    <x:row r="564">
      <x:c r="A564" s="14" t="n">
        <x:v>561</x:v>
      </x:c>
      <x:c r="B564" s="14" t="n">
        <x:v>118</x:v>
      </x:c>
      <x:c r="C564" s="14" t="str">
        <x:v>CHEFFERIE</x:v>
      </x:c>
      <x:c r="D564" s="14" t="str">
        <x:v>Nganye</x:v>
      </x:c>
      <x:c r="E564" s="14"/>
      <x:c r="F564" s="14"/>
      <x:c r="G564" s="14"/>
      <x:c r="H564" s="14"/>
      <x:c r="I564" s="14" t="n">
        <x:v>2018</x:v>
      </x:c>
      <x:c r="J564" s="14" t="str">
        <x:v>S06</x:v>
      </x:c>
      <x:c r="K564" s="14" t="str">
        <x:v>HISTORIQUE_CENI_2018_A_VALIDER</x:v>
      </x:c>
    </x:row>
    <x:row r="565">
      <x:c r="A565" s="14" t="n">
        <x:v>562</x:v>
      </x:c>
      <x:c r="B565" s="14" t="n">
        <x:v>42</x:v>
      </x:c>
      <x:c r="C565" s="14" t="str">
        <x:v>SECTEUR</x:v>
      </x:c>
      <x:c r="D565" s="14" t="str">
        <x:v>Otto-Banza</x:v>
      </x:c>
      <x:c r="E565" s="14"/>
      <x:c r="F565" s="14"/>
      <x:c r="G565" s="14"/>
      <x:c r="H565" s="14"/>
      <x:c r="I565" s="14" t="n">
        <x:v>2018</x:v>
      </x:c>
      <x:c r="J565" s="14" t="str">
        <x:v>S06</x:v>
      </x:c>
      <x:c r="K565" s="14" t="str">
        <x:v>HISTORIQUE_CENI_2018_A_VALIDER</x:v>
      </x:c>
    </x:row>
    <x:row r="566">
      <x:c r="A566" s="14" t="n">
        <x:v>563</x:v>
      </x:c>
      <x:c r="B566" s="14" t="n">
        <x:v>42</x:v>
      </x:c>
      <x:c r="C566" s="14" t="str">
        <x:v>SECTEUR</x:v>
      </x:c>
      <x:c r="D566" s="14" t="str">
        <x:v>Mobayi-Mbongo</x:v>
      </x:c>
      <x:c r="E566" s="14"/>
      <x:c r="F566" s="14"/>
      <x:c r="G566" s="14"/>
      <x:c r="H566" s="14"/>
      <x:c r="I566" s="14" t="n">
        <x:v>2018</x:v>
      </x:c>
      <x:c r="J566" s="14" t="str">
        <x:v>S06</x:v>
      </x:c>
      <x:c r="K566" s="14" t="str">
        <x:v>HISTORIQUE_CENI_2018_A_VALIDER</x:v>
      </x:c>
    </x:row>
    <x:row r="567">
      <x:c r="A567" s="14" t="n">
        <x:v>564</x:v>
      </x:c>
      <x:c r="B567" s="14" t="n">
        <x:v>52</x:v>
      </x:c>
      <x:c r="C567" s="14" t="str">
        <x:v>SECTEUR</x:v>
      </x:c>
      <x:c r="D567" s="14" t="str">
        <x:v>Bianga</x:v>
      </x:c>
      <x:c r="E567" s="14"/>
      <x:c r="F567" s="14"/>
      <x:c r="G567" s="14"/>
      <x:c r="H567" s="14"/>
      <x:c r="I567" s="14" t="n">
        <x:v>2018</x:v>
      </x:c>
      <x:c r="J567" s="14" t="str">
        <x:v>S06</x:v>
      </x:c>
      <x:c r="K567" s="14" t="str">
        <x:v>HISTORIQUE_CENI_2018_A_VALIDER</x:v>
      </x:c>
    </x:row>
    <x:row r="568">
      <x:c r="A568" s="14" t="n">
        <x:v>565</x:v>
      </x:c>
      <x:c r="B568" s="14" t="n">
        <x:v>52</x:v>
      </x:c>
      <x:c r="C568" s="14" t="str">
        <x:v>SECTEUR</x:v>
      </x:c>
      <x:c r="D568" s="14" t="str">
        <x:v>Monkoto</x:v>
      </x:c>
      <x:c r="E568" s="14"/>
      <x:c r="F568" s="14"/>
      <x:c r="G568" s="14"/>
      <x:c r="H568" s="14"/>
      <x:c r="I568" s="14" t="n">
        <x:v>2018</x:v>
      </x:c>
      <x:c r="J568" s="14" t="str">
        <x:v>S06</x:v>
      </x:c>
      <x:c r="K568" s="14" t="str">
        <x:v>HISTORIQUE_CENI_2018_A_VALIDER</x:v>
      </x:c>
    </x:row>
    <x:row r="569">
      <x:c r="A569" s="14" t="n">
        <x:v>566</x:v>
      </x:c>
      <x:c r="B569" s="14" t="n">
        <x:v>52</x:v>
      </x:c>
      <x:c r="C569" s="14" t="str">
        <x:v>SECTEUR</x:v>
      </x:c>
      <x:c r="D569" s="14" t="str">
        <x:v>Nongo</x:v>
      </x:c>
      <x:c r="E569" s="14"/>
      <x:c r="F569" s="14"/>
      <x:c r="G569" s="14"/>
      <x:c r="H569" s="14"/>
      <x:c r="I569" s="14" t="n">
        <x:v>2018</x:v>
      </x:c>
      <x:c r="J569" s="14" t="str">
        <x:v>S06</x:v>
      </x:c>
      <x:c r="K569" s="14" t="str">
        <x:v>HISTORIQUE_CENI_2018_A_VALIDER</x:v>
      </x:c>
    </x:row>
    <x:row r="570">
      <x:c r="A570" s="14" t="n">
        <x:v>567</x:v>
      </x:c>
      <x:c r="B570" s="14" t="n">
        <x:v>26</x:v>
      </x:c>
      <x:c r="C570" s="14" t="str">
        <x:v>CHEFFERIE</x:v>
      </x:c>
      <x:c r="D570" s="14" t="str">
        <x:v>Baboma-Nord</x:v>
      </x:c>
      <x:c r="E570" s="14"/>
      <x:c r="F570" s="14"/>
      <x:c r="G570" s="14"/>
      <x:c r="H570" s="14"/>
      <x:c r="I570" s="14" t="n">
        <x:v>2018</x:v>
      </x:c>
      <x:c r="J570" s="14" t="str">
        <x:v>S06</x:v>
      </x:c>
      <x:c r="K570" s="14" t="str">
        <x:v>HISTORIQUE_CENI_2018_A_VALIDER</x:v>
      </x:c>
    </x:row>
    <x:row r="571">
      <x:c r="A571" s="14" t="n">
        <x:v>568</x:v>
      </x:c>
      <x:c r="B571" s="14" t="n">
        <x:v>107</x:v>
      </x:c>
      <x:c r="C571" s="14" t="str">
        <x:v>SECTEUR</x:v>
      </x:c>
      <x:c r="D571" s="14" t="str">
        <x:v>Lufupa</x:v>
      </x:c>
      <x:c r="E571" s="14"/>
      <x:c r="F571" s="14"/>
      <x:c r="G571" s="14"/>
      <x:c r="H571" s="14"/>
      <x:c r="I571" s="14" t="n">
        <x:v>2018</x:v>
      </x:c>
      <x:c r="J571" s="14" t="str">
        <x:v>S06</x:v>
      </x:c>
      <x:c r="K571" s="14" t="str">
        <x:v>HISTORIQUE_CENI_2018_A_VALIDER</x:v>
      </x:c>
    </x:row>
    <x:row r="572">
      <x:c r="A572" s="14" t="n">
        <x:v>569</x:v>
      </x:c>
      <x:c r="B572" s="14" t="n">
        <x:v>107</x:v>
      </x:c>
      <x:c r="C572" s="14" t="str">
        <x:v>SECTEUR</x:v>
      </x:c>
      <x:c r="D572" s="14" t="str">
        <x:v>Luilu</x:v>
      </x:c>
      <x:c r="E572" s="14"/>
      <x:c r="F572" s="14"/>
      <x:c r="G572" s="14"/>
      <x:c r="H572" s="14"/>
      <x:c r="I572" s="14" t="n">
        <x:v>2018</x:v>
      </x:c>
      <x:c r="J572" s="14" t="str">
        <x:v>S06</x:v>
      </x:c>
      <x:c r="K572" s="14" t="str">
        <x:v>HISTORIQUE_CENI_2018_A_VALIDER</x:v>
      </x:c>
    </x:row>
    <x:row r="573">
      <x:c r="A573" s="14" t="n">
        <x:v>570</x:v>
      </x:c>
      <x:c r="B573" s="14" t="n">
        <x:v>107</x:v>
      </x:c>
      <x:c r="C573" s="14" t="str">
        <x:v>SECTEUR</x:v>
      </x:c>
      <x:c r="D573" s="14" t="str">
        <x:v>Mukuleshi</x:v>
      </x:c>
      <x:c r="E573" s="14"/>
      <x:c r="F573" s="14"/>
      <x:c r="G573" s="14"/>
      <x:c r="H573" s="14"/>
      <x:c r="I573" s="14" t="n">
        <x:v>2018</x:v>
      </x:c>
      <x:c r="J573" s="14" t="str">
        <x:v>S06</x:v>
      </x:c>
      <x:c r="K573" s="14" t="str">
        <x:v>HISTORIQUE_CENI_2018_A_VALIDER</x:v>
      </x:c>
    </x:row>
    <x:row r="574">
      <x:c r="A574" s="14" t="n">
        <x:v>571</x:v>
      </x:c>
      <x:c r="B574" s="14" t="n">
        <x:v>145</x:v>
      </x:c>
      <x:c r="C574" s="14" t="str">
        <x:v>CHEFFERIE</x:v>
      </x:c>
      <x:c r="D574" s="14" t="str">
        <x:v>Bakuba</x:v>
      </x:c>
      <x:c r="E574" s="14"/>
      <x:c r="F574" s="14"/>
      <x:c r="G574" s="14"/>
      <x:c r="H574" s="14"/>
      <x:c r="I574" s="14" t="n">
        <x:v>2018</x:v>
      </x:c>
      <x:c r="J574" s="14" t="str">
        <x:v>S06</x:v>
      </x:c>
      <x:c r="K574" s="14" t="str">
        <x:v>HISTORIQUE_CENI_2018_A_VALIDER</x:v>
      </x:c>
    </x:row>
    <x:row r="575">
      <x:c r="A575" s="14" t="n">
        <x:v>572</x:v>
      </x:c>
      <x:c r="B575" s="14" t="n">
        <x:v>87</x:v>
      </x:c>
      <x:c r="C575" s="14" t="str">
        <x:v>CHEFFERIE</x:v>
      </x:c>
      <x:c r="D575" s="14" t="str">
        <x:v>Basile</x:v>
      </x:c>
      <x:c r="E575" s="14"/>
      <x:c r="F575" s="14"/>
      <x:c r="G575" s="14"/>
      <x:c r="H575" s="14"/>
      <x:c r="I575" s="14" t="n">
        <x:v>2018</x:v>
      </x:c>
      <x:c r="J575" s="14" t="str">
        <x:v>S06</x:v>
      </x:c>
      <x:c r="K575" s="14" t="str">
        <x:v>HISTORIQUE_CENI_2018_A_VALIDER</x:v>
      </x:c>
    </x:row>
    <x:row r="576">
      <x:c r="A576" s="14" t="n">
        <x:v>573</x:v>
      </x:c>
      <x:c r="B576" s="14" t="n">
        <x:v>87</x:v>
      </x:c>
      <x:c r="C576" s="14" t="str">
        <x:v>CHEFFERIE</x:v>
      </x:c>
      <x:c r="D576" s="14" t="str">
        <x:v>Burhinyi</x:v>
      </x:c>
      <x:c r="E576" s="14"/>
      <x:c r="F576" s="14"/>
      <x:c r="G576" s="14"/>
      <x:c r="H576" s="14"/>
      <x:c r="I576" s="14" t="n">
        <x:v>2018</x:v>
      </x:c>
      <x:c r="J576" s="14" t="str">
        <x:v>S06</x:v>
      </x:c>
      <x:c r="K576" s="14" t="str">
        <x:v>HISTORIQUE_CENI_2018_A_VALIDER</x:v>
      </x:c>
    </x:row>
    <x:row r="577">
      <x:c r="A577" s="14" t="n">
        <x:v>574</x:v>
      </x:c>
      <x:c r="B577" s="14" t="n">
        <x:v>87</x:v>
      </x:c>
      <x:c r="C577" s="14" t="str">
        <x:v>CHEFFERIE</x:v>
      </x:c>
      <x:c r="D577" s="14" t="str">
        <x:v>Luindi</x:v>
      </x:c>
      <x:c r="E577" s="14"/>
      <x:c r="F577" s="14"/>
      <x:c r="G577" s="14"/>
      <x:c r="H577" s="14"/>
      <x:c r="I577" s="14" t="n">
        <x:v>2018</x:v>
      </x:c>
      <x:c r="J577" s="14" t="str">
        <x:v>S06</x:v>
      </x:c>
      <x:c r="K577" s="14" t="str">
        <x:v>HISTORIQUE_CENI_2018_A_VALIDER</x:v>
      </x:c>
    </x:row>
    <x:row r="578">
      <x:c r="A578" s="14" t="n">
        <x:v>575</x:v>
      </x:c>
      <x:c r="B578" s="14" t="n">
        <x:v>87</x:v>
      </x:c>
      <x:c r="C578" s="14" t="str">
        <x:v>CHEFFERIE</x:v>
      </x:c>
      <x:c r="D578" s="14" t="str">
        <x:v>Luwindja</x:v>
      </x:c>
      <x:c r="E578" s="14"/>
      <x:c r="F578" s="14"/>
      <x:c r="G578" s="14"/>
      <x:c r="H578" s="14"/>
      <x:c r="I578" s="14" t="n">
        <x:v>2018</x:v>
      </x:c>
      <x:c r="J578" s="14" t="str">
        <x:v>S06</x:v>
      </x:c>
      <x:c r="K578" s="14" t="str">
        <x:v>HISTORIQUE_CENI_2018_A_VALIDER</x:v>
      </x:c>
    </x:row>
    <x:row r="579">
      <x:c r="A579" s="14" t="n">
        <x:v>576</x:v>
      </x:c>
      <x:c r="B579" s="14" t="n">
        <x:v>87</x:v>
      </x:c>
      <x:c r="C579" s="14" t="str">
        <x:v>SECTEUR</x:v>
      </x:c>
      <x:c r="D579" s="14" t="str">
        <x:v>Itombwe</x:v>
      </x:c>
      <x:c r="E579" s="14"/>
      <x:c r="F579" s="14"/>
      <x:c r="G579" s="14"/>
      <x:c r="H579" s="14"/>
      <x:c r="I579" s="14" t="n">
        <x:v>2018</x:v>
      </x:c>
      <x:c r="J579" s="14" t="str">
        <x:v>S06</x:v>
      </x:c>
      <x:c r="K579" s="14" t="str">
        <x:v>HISTORIQUE_CENI_2018_A_VALIDER</x:v>
      </x:c>
    </x:row>
    <x:row r="580">
      <x:c r="A580" s="14" t="n">
        <x:v>577</x:v>
      </x:c>
      <x:c r="B580" s="14" t="n">
        <x:v>87</x:v>
      </x:c>
      <x:c r="C580" s="14" t="str">
        <x:v>CHEFFERIE</x:v>
      </x:c>
      <x:c r="D580" s="14" t="str">
        <x:v>Wamuzima</x:v>
      </x:c>
      <x:c r="E580" s="14"/>
      <x:c r="F580" s="14"/>
      <x:c r="G580" s="14"/>
      <x:c r="H580" s="14"/>
      <x:c r="I580" s="14" t="n">
        <x:v>2018</x:v>
      </x:c>
      <x:c r="J580" s="14" t="str">
        <x:v>S06</x:v>
      </x:c>
      <x:c r="K580" s="14" t="str">
        <x:v>HISTORIQUE_CENI_2018_A_VALIDER</x:v>
      </x:c>
    </x:row>
    <x:row r="581">
      <x:c r="A581" s="14" t="n">
        <x:v>578</x:v>
      </x:c>
      <x:c r="B581" s="14" t="n">
        <x:v>124</x:v>
      </x:c>
      <x:c r="C581" s="14" t="str">
        <x:v>SECTEUR</x:v>
      </x:c>
      <x:c r="D581" s="14" t="str">
        <x:v>Baluba-Shankadi</x:v>
      </x:c>
      <x:c r="E581" s="14"/>
      <x:c r="F581" s="14"/>
      <x:c r="G581" s="14"/>
      <x:c r="H581" s="14"/>
      <x:c r="I581" s="14" t="n">
        <x:v>2018</x:v>
      </x:c>
      <x:c r="J581" s="14" t="str">
        <x:v>S06</x:v>
      </x:c>
      <x:c r="K581" s="14" t="str">
        <x:v>HISTORIQUE_CENI_2018_A_VALIDER</x:v>
      </x:c>
    </x:row>
    <x:row r="582">
      <x:c r="A582" s="14" t="n">
        <x:v>579</x:v>
      </x:c>
      <x:c r="B582" s="14" t="n">
        <x:v>124</x:v>
      </x:c>
      <x:c r="C582" s="14" t="str">
        <x:v>CHEFFERIE</x:v>
      </x:c>
      <x:c r="D582" s="14" t="str">
        <x:v>Bakwa Mulumba</x:v>
      </x:c>
      <x:c r="E582" s="14"/>
      <x:c r="F582" s="14"/>
      <x:c r="G582" s="14"/>
      <x:c r="H582" s="14"/>
      <x:c r="I582" s="14" t="n">
        <x:v>2018</x:v>
      </x:c>
      <x:c r="J582" s="14" t="str">
        <x:v>S06</x:v>
      </x:c>
      <x:c r="K582" s="14" t="str">
        <x:v>HISTORIQUE_CENI_2018_A_VALIDER</x:v>
      </x:c>
    </x:row>
    <x:row r="583">
      <x:c r="A583" s="14" t="n">
        <x:v>580</x:v>
      </x:c>
      <x:c r="B583" s="14" t="n">
        <x:v>124</x:v>
      </x:c>
      <x:c r="C583" s="14" t="str">
        <x:v>SECTEUR</x:v>
      </x:c>
      <x:c r="D583" s="14" t="str">
        <x:v>Gandajika</x:v>
      </x:c>
      <x:c r="E583" s="14"/>
      <x:c r="F583" s="14"/>
      <x:c r="G583" s="14"/>
      <x:c r="H583" s="14"/>
      <x:c r="I583" s="14" t="n">
        <x:v>2018</x:v>
      </x:c>
      <x:c r="J583" s="14" t="str">
        <x:v>S06</x:v>
      </x:c>
      <x:c r="K583" s="14" t="str">
        <x:v>HISTORIQUE_CENI_2018_A_VALIDER</x:v>
      </x:c>
    </x:row>
    <x:row r="584">
      <x:c r="A584" s="14" t="n">
        <x:v>581</x:v>
      </x:c>
      <x:c r="B584" s="14" t="n">
        <x:v>124</x:v>
      </x:c>
      <x:c r="C584" s="14" t="str">
        <x:v>CHEFFERIE</x:v>
      </x:c>
      <x:c r="D584" s="14" t="str">
        <x:v>Kalambayi</x:v>
      </x:c>
      <x:c r="E584" s="14"/>
      <x:c r="F584" s="14"/>
      <x:c r="G584" s="14"/>
      <x:c r="H584" s="14"/>
      <x:c r="I584" s="14" t="n">
        <x:v>2018</x:v>
      </x:c>
      <x:c r="J584" s="14" t="str">
        <x:v>S06</x:v>
      </x:c>
      <x:c r="K584" s="14" t="str">
        <x:v>HISTORIQUE_CENI_2018_A_VALIDER</x:v>
      </x:c>
    </x:row>
    <x:row r="585">
      <x:c r="A585" s="14" t="n">
        <x:v>582</x:v>
      </x:c>
      <x:c r="B585" s="14" t="n">
        <x:v>124</x:v>
      </x:c>
      <x:c r="C585" s="14" t="str">
        <x:v>SECTEUR</x:v>
      </x:c>
      <x:c r="D585" s="14" t="str">
        <x:v>Tshiyamba</x:v>
      </x:c>
      <x:c r="E585" s="14"/>
      <x:c r="F585" s="14"/>
      <x:c r="G585" s="14"/>
      <x:c r="H585" s="14"/>
      <x:c r="I585" s="14" t="n">
        <x:v>2018</x:v>
      </x:c>
      <x:c r="J585" s="14" t="str">
        <x:v>S06</x:v>
      </x:c>
      <x:c r="K585" s="14" t="str">
        <x:v>HISTORIQUE_CENI_2018_A_VALIDER</x:v>
      </x:c>
    </x:row>
    <x:row r="586">
      <x:c r="A586" s="14" t="n">
        <x:v>583</x:v>
      </x:c>
      <x:c r="B586" s="14" t="n">
        <x:v>68</x:v>
      </x:c>
      <x:c r="C586" s="14" t="str">
        <x:v>CHEFFERIE</x:v>
      </x:c>
      <x:c r="D586" s="14" t="str">
        <x:v>Boemi</x:v>
      </x:c>
      <x:c r="E586" s="14"/>
      <x:c r="F586" s="14"/>
      <x:c r="G586" s="14"/>
      <x:c r="H586" s="14"/>
      <x:c r="I586" s="14" t="n">
        <x:v>2018</x:v>
      </x:c>
      <x:c r="J586" s="14" t="str">
        <x:v>S06</x:v>
      </x:c>
      <x:c r="K586" s="14" t="str">
        <x:v>HISTORIQUE_CENI_2018_A_VALIDER</x:v>
      </x:c>
    </x:row>
    <x:row r="587">
      <x:c r="A587" s="14" t="n">
        <x:v>584</x:v>
      </x:c>
      <x:c r="B587" s="14" t="n">
        <x:v>68</x:v>
      </x:c>
      <x:c r="C587" s="14" t="str">
        <x:v>CHEFFERIE</x:v>
      </x:c>
      <x:c r="D587" s="14" t="str">
        <x:v>Mangbetu-Mabisanga</x:v>
      </x:c>
      <x:c r="E587" s="14"/>
      <x:c r="F587" s="14"/>
      <x:c r="G587" s="14"/>
      <x:c r="H587" s="14"/>
      <x:c r="I587" s="14" t="n">
        <x:v>2018</x:v>
      </x:c>
      <x:c r="J587" s="14" t="str">
        <x:v>S06</x:v>
      </x:c>
      <x:c r="K587" s="14" t="str">
        <x:v>HISTORIQUE_CENI_2018_A_VALIDER</x:v>
      </x:c>
    </x:row>
    <x:row r="588">
      <x:c r="A588" s="14" t="n">
        <x:v>585</x:v>
      </x:c>
      <x:c r="B588" s="14" t="n">
        <x:v>68</x:v>
      </x:c>
      <x:c r="C588" s="14" t="str">
        <x:v>CHEFFERIE</x:v>
      </x:c>
      <x:c r="D588" s="14" t="str">
        <x:v>Mangbele</x:v>
      </x:c>
      <x:c r="E588" s="14"/>
      <x:c r="F588" s="14"/>
      <x:c r="G588" s="14"/>
      <x:c r="H588" s="14"/>
      <x:c r="I588" s="14" t="n">
        <x:v>2018</x:v>
      </x:c>
      <x:c r="J588" s="14" t="str">
        <x:v>S06</x:v>
      </x:c>
      <x:c r="K588" s="14" t="str">
        <x:v>HISTORIQUE_CENI_2018_A_VALIDER</x:v>
      </x:c>
    </x:row>
    <x:row r="589">
      <x:c r="A589" s="14" t="n">
        <x:v>586</x:v>
      </x:c>
      <x:c r="B589" s="14" t="n">
        <x:v>68</x:v>
      </x:c>
      <x:c r="C589" s="14" t="str">
        <x:v>CHEFFERIE</x:v>
      </x:c>
      <x:c r="D589" s="14" t="str">
        <x:v>Manziga</x:v>
      </x:c>
      <x:c r="E589" s="14"/>
      <x:c r="F589" s="14"/>
      <x:c r="G589" s="14"/>
      <x:c r="H589" s="14"/>
      <x:c r="I589" s="14" t="n">
        <x:v>2018</x:v>
      </x:c>
      <x:c r="J589" s="14" t="str">
        <x:v>S06</x:v>
      </x:c>
      <x:c r="K589" s="14" t="str">
        <x:v>HISTORIQUE_CENI_2018_A_VALIDER</x:v>
      </x:c>
    </x:row>
    <x:row r="590">
      <x:c r="A590" s="14" t="n">
        <x:v>587</x:v>
      </x:c>
      <x:c r="B590" s="14" t="n">
        <x:v>68</x:v>
      </x:c>
      <x:c r="C590" s="14" t="str">
        <x:v>CHEFFERIE</x:v>
      </x:c>
      <x:c r="D590" s="14" t="str">
        <x:v>Okondo</x:v>
      </x:c>
      <x:c r="E590" s="14"/>
      <x:c r="F590" s="14"/>
      <x:c r="G590" s="14"/>
      <x:c r="H590" s="14"/>
      <x:c r="I590" s="14" t="n">
        <x:v>2018</x:v>
      </x:c>
      <x:c r="J590" s="14" t="str">
        <x:v>S06</x:v>
      </x:c>
      <x:c r="K590" s="14" t="str">
        <x:v>HISTORIQUE_CENI_2018_A_VALIDER</x:v>
      </x:c>
    </x:row>
    <x:row r="591">
      <x:c r="A591" s="14" t="n">
        <x:v>588</x:v>
      </x:c>
      <x:c r="B591" s="14" t="n">
        <x:v>68</x:v>
      </x:c>
      <x:c r="C591" s="14" t="str">
        <x:v>CHEFFERIE</x:v>
      </x:c>
      <x:c r="D591" s="14" t="str">
        <x:v>Kereboro</x:v>
      </x:c>
      <x:c r="E591" s="14"/>
      <x:c r="F591" s="14"/>
      <x:c r="G591" s="14"/>
      <x:c r="H591" s="14"/>
      <x:c r="I591" s="14" t="n">
        <x:v>2018</x:v>
      </x:c>
      <x:c r="J591" s="14" t="str">
        <x:v>S06</x:v>
      </x:c>
      <x:c r="K591" s="14" t="str">
        <x:v>HISTORIQUE_CENI_2018_A_VALIDER</x:v>
      </x:c>
    </x:row>
    <x:row r="592">
      <x:c r="A592" s="14" t="n">
        <x:v>589</x:v>
      </x:c>
      <x:c r="B592" s="14" t="n">
        <x:v>68</x:v>
      </x:c>
      <x:c r="C592" s="14" t="str">
        <x:v>CHEFFERIE</x:v>
      </x:c>
      <x:c r="D592" s="14" t="str">
        <x:v>Kopa</x:v>
      </x:c>
      <x:c r="E592" s="14"/>
      <x:c r="F592" s="14"/>
      <x:c r="G592" s="14"/>
      <x:c r="H592" s="14"/>
      <x:c r="I592" s="14" t="n">
        <x:v>2018</x:v>
      </x:c>
      <x:c r="J592" s="14" t="str">
        <x:v>S06</x:v>
      </x:c>
      <x:c r="K592" s="14" t="str">
        <x:v>HISTORIQUE_CENI_2018_A_VALIDER</x:v>
      </x:c>
    </x:row>
    <x:row r="593">
      <x:c r="A593" s="14" t="n">
        <x:v>590</x:v>
      </x:c>
      <x:c r="B593" s="14" t="n">
        <x:v>80</x:v>
      </x:c>
      <x:c r="C593" s="14" t="str">
        <x:v>CHEFFERIE</x:v>
      </x:c>
      <x:c r="D593" s="14" t="str">
        <x:v>Bukumu</x:v>
      </x:c>
      <x:c r="E593" s="14"/>
      <x:c r="F593" s="14"/>
      <x:c r="G593" s="14"/>
      <x:c r="H593" s="14"/>
      <x:c r="I593" s="14" t="n">
        <x:v>2018</x:v>
      </x:c>
      <x:c r="J593" s="14" t="str">
        <x:v>S06</x:v>
      </x:c>
      <x:c r="K593" s="14" t="str">
        <x:v>HISTORIQUE_CENI_2018_A_VALIDER</x:v>
      </x:c>
    </x:row>
    <x:row r="594">
      <x:c r="A594" s="14" t="n">
        <x:v>591</x:v>
      </x:c>
      <x:c r="B594" s="14" t="n">
        <x:v>119</x:v>
      </x:c>
      <x:c r="C594" s="14" t="str">
        <x:v>SECTEUR</x:v>
      </x:c>
      <x:c r="D594" s="14" t="str">
        <x:v>Nord-Lukuga</x:v>
      </x:c>
      <x:c r="E594" s="14"/>
      <x:c r="F594" s="14"/>
      <x:c r="G594" s="14"/>
      <x:c r="H594" s="14"/>
      <x:c r="I594" s="14" t="n">
        <x:v>2018</x:v>
      </x:c>
      <x:c r="J594" s="14" t="str">
        <x:v>S06</x:v>
      </x:c>
      <x:c r="K594" s="14" t="str">
        <x:v>HISTORIQUE_CENI_2018_A_VALIDER</x:v>
      </x:c>
    </x:row>
    <x:row r="595">
      <x:c r="A595" s="14" t="n">
        <x:v>592</x:v>
      </x:c>
      <x:c r="B595" s="14" t="n">
        <x:v>119</x:v>
      </x:c>
      <x:c r="C595" s="14" t="str">
        <x:v>SECTEUR</x:v>
      </x:c>
      <x:c r="D595" s="14" t="str">
        <x:v>Sud-Lukuga</x:v>
      </x:c>
      <x:c r="E595" s="14"/>
      <x:c r="F595" s="14"/>
      <x:c r="G595" s="14"/>
      <x:c r="H595" s="14"/>
      <x:c r="I595" s="14" t="n">
        <x:v>2018</x:v>
      </x:c>
      <x:c r="J595" s="14" t="str">
        <x:v>S06</x:v>
      </x:c>
      <x:c r="K595" s="14" t="str">
        <x:v>HISTORIQUE_CENI_2018_A_VALIDER</x:v>
      </x:c>
    </x:row>
    <x:row r="596">
      <x:c r="A596" s="14" t="n">
        <x:v>593</x:v>
      </x:c>
      <x:c r="B596" s="14" t="n">
        <x:v>57</x:v>
      </x:c>
      <x:c r="C596" s="14" t="str">
        <x:v>SECTEUR</x:v>
      </x:c>
      <x:c r="D596" s="14" t="str">
        <x:v>Balinga-Lindja</x:v>
      </x:c>
      <x:c r="E596" s="14"/>
      <x:c r="F596" s="14"/>
      <x:c r="G596" s="14"/>
      <x:c r="H596" s="14"/>
      <x:c r="I596" s="14" t="n">
        <x:v>2018</x:v>
      </x:c>
      <x:c r="J596" s="14" t="str">
        <x:v>S06</x:v>
      </x:c>
      <x:c r="K596" s="14" t="str">
        <x:v>HISTORIQUE_CENI_2018_A_VALIDER</x:v>
      </x:c>
    </x:row>
    <x:row r="597">
      <x:c r="A597" s="14" t="n">
        <x:v>594</x:v>
      </x:c>
      <x:c r="B597" s="14" t="n">
        <x:v>57</x:v>
      </x:c>
      <x:c r="C597" s="14" t="str">
        <x:v>SECTEUR</x:v>
      </x:c>
      <x:c r="D597" s="14" t="str">
        <x:v>Yawende-Loolo</x:v>
      </x:c>
      <x:c r="E597" s="14"/>
      <x:c r="F597" s="14"/>
      <x:c r="G597" s="14"/>
      <x:c r="H597" s="14"/>
      <x:c r="I597" s="14" t="n">
        <x:v>2018</x:v>
      </x:c>
      <x:c r="J597" s="14" t="str">
        <x:v>S06</x:v>
      </x:c>
      <x:c r="K597" s="14" t="str">
        <x:v>HISTORIQUE_CENI_2018_A_VALIDER</x:v>
      </x:c>
    </x:row>
    <x:row r="598">
      <x:c r="A598" s="14" t="n">
        <x:v>595</x:v>
      </x:c>
      <x:c r="B598" s="14" t="n">
        <x:v>57</x:v>
      </x:c>
      <x:c r="C598" s="14" t="str">
        <x:v>CHEFFERIE</x:v>
      </x:c>
      <x:c r="D598" s="14" t="str">
        <x:v>Yeyango</x:v>
      </x:c>
      <x:c r="E598" s="14"/>
      <x:c r="F598" s="14"/>
      <x:c r="G598" s="14"/>
      <x:c r="H598" s="14"/>
      <x:c r="I598" s="14" t="n">
        <x:v>2018</x:v>
      </x:c>
      <x:c r="J598" s="14" t="str">
        <x:v>S06</x:v>
      </x:c>
      <x:c r="K598" s="14" t="str">
        <x:v>HISTORIQUE_CENI_2018_A_VALIDER</x:v>
      </x:c>
    </x:row>
    <x:row r="599">
      <x:c r="A599" s="14" t="n">
        <x:v>596</x:v>
      </x:c>
      <x:c r="B599" s="14" t="n">
        <x:v>57</x:v>
      </x:c>
      <x:c r="C599" s="14" t="str">
        <x:v>CHEFFERIE</x:v>
      </x:c>
      <x:c r="D599" s="14" t="str">
        <x:v>Yomale</x:v>
      </x:c>
      <x:c r="E599" s="14"/>
      <x:c r="F599" s="14"/>
      <x:c r="G599" s="14"/>
      <x:c r="H599" s="14"/>
      <x:c r="I599" s="14" t="n">
        <x:v>2018</x:v>
      </x:c>
      <x:c r="J599" s="14" t="str">
        <x:v>S06</x:v>
      </x:c>
      <x:c r="K599" s="14" t="str">
        <x:v>HISTORIQUE_CENI_2018_A_VALIDER</x:v>
      </x:c>
    </x:row>
    <x:row r="600">
      <x:c r="A600" s="14" t="n">
        <x:v>597</x:v>
      </x:c>
      <x:c r="B600" s="14" t="n">
        <x:v>57</x:v>
      </x:c>
      <x:c r="C600" s="14" t="str">
        <x:v>CHEFFERIE</x:v>
      </x:c>
      <x:c r="D600" s="14" t="str">
        <x:v>Yalingo</x:v>
      </x:c>
      <x:c r="E600" s="14"/>
      <x:c r="F600" s="14"/>
      <x:c r="G600" s="14"/>
      <x:c r="H600" s="14"/>
      <x:c r="I600" s="14" t="n">
        <x:v>2018</x:v>
      </x:c>
      <x:c r="J600" s="14" t="str">
        <x:v>S06</x:v>
      </x:c>
      <x:c r="K600" s="14" t="str">
        <x:v>HISTORIQUE_CENI_2018_A_VALIDER</x:v>
      </x:c>
    </x:row>
    <x:row r="601">
      <x:c r="A601" s="14" t="n">
        <x:v>598</x:v>
      </x:c>
      <x:c r="B601" s="14" t="n">
        <x:v>57</x:v>
      </x:c>
      <x:c r="C601" s="14" t="str">
        <x:v>SECTEUR</x:v>
      </x:c>
      <x:c r="D601" s="14" t="str">
        <x:v>Iye</x:v>
      </x:c>
      <x:c r="E601" s="14"/>
      <x:c r="F601" s="14"/>
      <x:c r="G601" s="14"/>
      <x:c r="H601" s="14"/>
      <x:c r="I601" s="14" t="n">
        <x:v>2018</x:v>
      </x:c>
      <x:c r="J601" s="14" t="str">
        <x:v>S06</x:v>
      </x:c>
      <x:c r="K601" s="14" t="str">
        <x:v>HISTORIQUE_CENI_2018_A_VALIDER</x:v>
      </x:c>
    </x:row>
    <x:row r="602">
      <x:c r="A602" s="14" t="n">
        <x:v>599</x:v>
      </x:c>
      <x:c r="B602" s="14" t="n">
        <x:v>57</x:v>
      </x:c>
      <x:c r="C602" s="14" t="str">
        <x:v>CHEFFERIE</x:v>
      </x:c>
      <x:c r="D602" s="14" t="str">
        <x:v>Yapandu</x:v>
      </x:c>
      <x:c r="E602" s="14"/>
      <x:c r="F602" s="14"/>
      <x:c r="G602" s="14"/>
      <x:c r="H602" s="14"/>
      <x:c r="I602" s="14" t="n">
        <x:v>2018</x:v>
      </x:c>
      <x:c r="J602" s="14" t="str">
        <x:v>S06</x:v>
      </x:c>
      <x:c r="K602" s="14" t="str">
        <x:v>HISTORIQUE_CENI_2018_A_VALIDER</x:v>
      </x:c>
    </x:row>
    <x:row r="603">
      <x:c r="A603" s="14" t="n">
        <x:v>600</x:v>
      </x:c>
      <x:c r="B603" s="14" t="n">
        <x:v>57</x:v>
      </x:c>
      <x:c r="C603" s="14" t="str">
        <x:v>CHEFFERIE</x:v>
      </x:c>
      <x:c r="D603" s="14" t="str">
        <x:v>Mongo</x:v>
      </x:c>
      <x:c r="E603" s="14"/>
      <x:c r="F603" s="14"/>
      <x:c r="G603" s="14"/>
      <x:c r="H603" s="14"/>
      <x:c r="I603" s="14" t="n">
        <x:v>2018</x:v>
      </x:c>
      <x:c r="J603" s="14" t="str">
        <x:v>S06</x:v>
      </x:c>
      <x:c r="K603" s="14" t="str">
        <x:v>HISTORIQUE_CENI_2018_A_VALIDER</x:v>
      </x:c>
    </x:row>
    <x:row r="604">
      <x:c r="A604" s="14" t="n">
        <x:v>601</x:v>
      </x:c>
      <x:c r="B604" s="14" t="n">
        <x:v>57</x:v>
      </x:c>
      <x:c r="C604" s="14" t="str">
        <x:v>CHEFFERIE</x:v>
      </x:c>
      <x:c r="D604" s="14" t="str">
        <x:v>Kembe</x:v>
      </x:c>
      <x:c r="E604" s="14"/>
      <x:c r="F604" s="14"/>
      <x:c r="G604" s="14"/>
      <x:c r="H604" s="14"/>
      <x:c r="I604" s="14" t="n">
        <x:v>2018</x:v>
      </x:c>
      <x:c r="J604" s="14" t="str">
        <x:v>S06</x:v>
      </x:c>
      <x:c r="K604" s="14" t="str">
        <x:v>HISTORIQUE_CENI_2018_A_VALIDER</x:v>
      </x:c>
    </x:row>
    <x:row r="605">
      <x:c r="A605" s="14" t="n">
        <x:v>602</x:v>
      </x:c>
      <x:c r="B605" s="14" t="n">
        <x:v>57</x:v>
      </x:c>
      <x:c r="C605" s="14" t="str">
        <x:v>SECTEUR</x:v>
      </x:c>
      <x:c r="D605" s="14" t="str">
        <x:v>Lobaie</x:v>
      </x:c>
      <x:c r="E605" s="14"/>
      <x:c r="F605" s="14"/>
      <x:c r="G605" s="14"/>
      <x:c r="H605" s="14"/>
      <x:c r="I605" s="14" t="n">
        <x:v>2018</x:v>
      </x:c>
      <x:c r="J605" s="14" t="str">
        <x:v>S06</x:v>
      </x:c>
      <x:c r="K605" s="14" t="str">
        <x:v>HISTORIQUE_CENI_2018_A_VALIDER</x:v>
      </x:c>
    </x:row>
    <x:row r="606">
      <x:c r="A606" s="14" t="n">
        <x:v>603</x:v>
      </x:c>
      <x:c r="B606" s="14" t="n">
        <x:v>57</x:v>
      </x:c>
      <x:c r="C606" s="14" t="str">
        <x:v>SECTEUR</x:v>
      </x:c>
      <x:c r="D606" s="14" t="str">
        <x:v>Tooli</x:v>
      </x:c>
      <x:c r="E606" s="14"/>
      <x:c r="F606" s="14"/>
      <x:c r="G606" s="14"/>
      <x:c r="H606" s="14"/>
      <x:c r="I606" s="14" t="n">
        <x:v>2018</x:v>
      </x:c>
      <x:c r="J606" s="14" t="str">
        <x:v>S06</x:v>
      </x:c>
      <x:c r="K606" s="14" t="str">
        <x:v>HISTORIQUE_CENI_2018_A_VALIDER</x:v>
      </x:c>
    </x:row>
    <x:row r="607">
      <x:c r="A607" s="14" t="n">
        <x:v>604</x:v>
      </x:c>
      <x:c r="B607" s="14" t="n">
        <x:v>27</x:v>
      </x:c>
      <x:c r="C607" s="14" t="str">
        <x:v>SECTEUR</x:v>
      </x:c>
      <x:c r="D607" s="14" t="str">
        <x:v>Entre Lukenie-Lokoro Nkaw</x:v>
      </x:c>
      <x:c r="E607" s="14"/>
      <x:c r="F607" s="14"/>
      <x:c r="G607" s="14"/>
      <x:c r="H607" s="14"/>
      <x:c r="I607" s="14" t="n">
        <x:v>2018</x:v>
      </x:c>
      <x:c r="J607" s="14" t="str">
        <x:v>S06</x:v>
      </x:c>
      <x:c r="K607" s="14" t="str">
        <x:v>HISTORIQUE_CENI_2018_A_VALIDER</x:v>
      </x:c>
    </x:row>
    <x:row r="608">
      <x:c r="A608" s="14" t="n">
        <x:v>605</x:v>
      </x:c>
      <x:c r="B608" s="14" t="n">
        <x:v>27</x:v>
      </x:c>
      <x:c r="C608" s="14" t="str">
        <x:v>SECTEUR</x:v>
      </x:c>
      <x:c r="D608" s="14" t="str">
        <x:v>Kangara</x:v>
      </x:c>
      <x:c r="E608" s="14"/>
      <x:c r="F608" s="14"/>
      <x:c r="G608" s="14"/>
      <x:c r="H608" s="14"/>
      <x:c r="I608" s="14" t="n">
        <x:v>2018</x:v>
      </x:c>
      <x:c r="J608" s="14" t="str">
        <x:v>S06</x:v>
      </x:c>
      <x:c r="K608" s="14" t="str">
        <x:v>HISTORIQUE_CENI_2018_A_VALIDER</x:v>
      </x:c>
    </x:row>
    <x:row r="609">
      <x:c r="A609" s="14" t="n">
        <x:v>606</x:v>
      </x:c>
      <x:c r="B609" s="14" t="n">
        <x:v>27</x:v>
      </x:c>
      <x:c r="C609" s="14" t="str">
        <x:v>SECTEUR</x:v>
      </x:c>
      <x:c r="D609" s="14" t="str">
        <x:v>Lokolama</x:v>
      </x:c>
      <x:c r="E609" s="14"/>
      <x:c r="F609" s="14"/>
      <x:c r="G609" s="14"/>
      <x:c r="H609" s="14"/>
      <x:c r="I609" s="14" t="n">
        <x:v>2018</x:v>
      </x:c>
      <x:c r="J609" s="14" t="str">
        <x:v>S06</x:v>
      </x:c>
      <x:c r="K609" s="14" t="str">
        <x:v>HISTORIQUE_CENI_2018_A_VALIDER</x:v>
      </x:c>
    </x:row>
    <x:row r="610">
      <x:c r="A610" s="14" t="n">
        <x:v>607</x:v>
      </x:c>
      <x:c r="B610" s="14" t="n">
        <x:v>27</x:v>
      </x:c>
      <x:c r="C610" s="14" t="str">
        <x:v>SECTEUR</x:v>
      </x:c>
      <x:c r="D610" s="14" t="str">
        <x:v>Lukenie</x:v>
      </x:c>
      <x:c r="E610" s="14"/>
      <x:c r="F610" s="14"/>
      <x:c r="G610" s="14"/>
      <x:c r="H610" s="14"/>
      <x:c r="I610" s="14" t="n">
        <x:v>2018</x:v>
      </x:c>
      <x:c r="J610" s="14" t="str">
        <x:v>S06</x:v>
      </x:c>
      <x:c r="K610" s="14" t="str">
        <x:v>HISTORIQUE_CENI_2018_A_VALIDER</x:v>
      </x:c>
    </x:row>
    <x:row r="611">
      <x:c r="A611" s="14" t="n">
        <x:v>608</x:v>
      </x:c>
      <x:c r="B611" s="14" t="n">
        <x:v>96</x:v>
      </x:c>
      <x:c r="C611" s="14" t="str">
        <x:v>CHEFFERIE</x:v>
      </x:c>
      <x:c r="D611" s="14" t="str">
        <x:v>Babene</x:v>
      </x:c>
      <x:c r="E611" s="14"/>
      <x:c r="F611" s="14"/>
      <x:c r="G611" s="14"/>
      <x:c r="H611" s="14"/>
      <x:c r="I611" s="14" t="n">
        <x:v>2018</x:v>
      </x:c>
      <x:c r="J611" s="14" t="str">
        <x:v>S06</x:v>
      </x:c>
      <x:c r="K611" s="14" t="str">
        <x:v>HISTORIQUE_CENI_2018_A_VALIDER</x:v>
      </x:c>
    </x:row>
    <x:row r="612">
      <x:c r="A612" s="14" t="n">
        <x:v>609</x:v>
      </x:c>
      <x:c r="B612" s="14" t="n">
        <x:v>96</x:v>
      </x:c>
      <x:c r="C612" s="14" t="str">
        <x:v>SECTEUR</x:v>
      </x:c>
      <x:c r="D612" s="14" t="str">
        <x:v>Beia</x:v>
      </x:c>
      <x:c r="E612" s="14"/>
      <x:c r="F612" s="14"/>
      <x:c r="G612" s="14"/>
      <x:c r="H612" s="14"/>
      <x:c r="I612" s="14" t="n">
        <x:v>2018</x:v>
      </x:c>
      <x:c r="J612" s="14" t="str">
        <x:v>S06</x:v>
      </x:c>
      <x:c r="K612" s="14" t="str">
        <x:v>HISTORIQUE_CENI_2018_A_VALIDER</x:v>
      </x:c>
    </x:row>
    <x:row r="613">
      <x:c r="A613" s="14" t="n">
        <x:v>610</x:v>
      </x:c>
      <x:c r="B613" s="14" t="n">
        <x:v>96</x:v>
      </x:c>
      <x:c r="C613" s="14" t="str">
        <x:v>SECTEUR</x:v>
      </x:c>
      <x:c r="D613" s="14" t="str">
        <x:v>Ikama</x:v>
      </x:c>
      <x:c r="E613" s="14"/>
      <x:c r="F613" s="14"/>
      <x:c r="G613" s="14"/>
      <x:c r="H613" s="14"/>
      <x:c r="I613" s="14" t="n">
        <x:v>2018</x:v>
      </x:c>
      <x:c r="J613" s="14" t="str">
        <x:v>S06</x:v>
      </x:c>
      <x:c r="K613" s="14" t="str">
        <x:v>HISTORIQUE_CENI_2018_A_VALIDER</x:v>
      </x:c>
    </x:row>
    <x:row r="614">
      <x:c r="A614" s="14" t="n">
        <x:v>611</x:v>
      </x:c>
      <x:c r="B614" s="14" t="n">
        <x:v>96</x:v>
      </x:c>
      <x:c r="C614" s="14" t="str">
        <x:v>SECTEUR</x:v>
      </x:c>
      <x:c r="D614" s="14" t="str">
        <x:v>Wakabango</x:v>
      </x:c>
      <x:c r="E614" s="14"/>
      <x:c r="F614" s="14"/>
      <x:c r="G614" s="14"/>
      <x:c r="H614" s="14"/>
      <x:c r="I614" s="14" t="n">
        <x:v>2018</x:v>
      </x:c>
      <x:c r="J614" s="14" t="str">
        <x:v>S06</x:v>
      </x:c>
      <x:c r="K614" s="14" t="str">
        <x:v>HISTORIQUE_CENI_2018_A_VALIDER</x:v>
      </x:c>
    </x:row>
    <x:row r="615">
      <x:c r="A615" s="14" t="n">
        <x:v>612</x:v>
      </x:c>
      <x:c r="B615" s="14" t="n">
        <x:v>65</x:v>
      </x:c>
      <x:c r="C615" s="14" t="str">
        <x:v>SECTEUR</x:v>
      </x:c>
      <x:c r="D615" s="14" t="str">
        <x:v>Abarambo</x:v>
      </x:c>
      <x:c r="E615" s="14"/>
      <x:c r="F615" s="14"/>
      <x:c r="G615" s="14"/>
      <x:c r="H615" s="14"/>
      <x:c r="I615" s="14" t="n">
        <x:v>2018</x:v>
      </x:c>
      <x:c r="J615" s="14" t="str">
        <x:v>S06</x:v>
      </x:c>
      <x:c r="K615" s="14" t="str">
        <x:v>HISTORIQUE_CENI_2018_A_VALIDER</x:v>
      </x:c>
    </x:row>
    <x:row r="616">
      <x:c r="A616" s="14" t="n">
        <x:v>613</x:v>
      </x:c>
      <x:c r="B616" s="14" t="n">
        <x:v>65</x:v>
      </x:c>
      <x:c r="C616" s="14" t="str">
        <x:v>CHEFFERIE</x:v>
      </x:c>
      <x:c r="D616" s="14" t="str">
        <x:v>Babena</x:v>
      </x:c>
      <x:c r="E616" s="14"/>
      <x:c r="F616" s="14"/>
      <x:c r="G616" s="14"/>
      <x:c r="H616" s="14"/>
      <x:c r="I616" s="14" t="n">
        <x:v>2018</x:v>
      </x:c>
      <x:c r="J616" s="14" t="str">
        <x:v>S06</x:v>
      </x:c>
      <x:c r="K616" s="14" t="str">
        <x:v>HISTORIQUE_CENI_2018_A_VALIDER</x:v>
      </x:c>
    </x:row>
    <x:row r="617">
      <x:c r="A617" s="14" t="n">
        <x:v>614</x:v>
      </x:c>
      <x:c r="B617" s="14" t="n">
        <x:v>65</x:v>
      </x:c>
      <x:c r="C617" s="14" t="str">
        <x:v>CHEFFERIE</x:v>
      </x:c>
      <x:c r="D617" s="14" t="str">
        <x:v>Bakengaie</x:v>
      </x:c>
      <x:c r="E617" s="14"/>
      <x:c r="F617" s="14"/>
      <x:c r="G617" s="14"/>
      <x:c r="H617" s="14"/>
      <x:c r="I617" s="14" t="n">
        <x:v>2018</x:v>
      </x:c>
      <x:c r="J617" s="14" t="str">
        <x:v>S06</x:v>
      </x:c>
      <x:c r="K617" s="14" t="str">
        <x:v>HISTORIQUE_CENI_2018_A_VALIDER</x:v>
      </x:c>
    </x:row>
    <x:row r="618">
      <x:c r="A618" s="14" t="n">
        <x:v>615</x:v>
      </x:c>
      <x:c r="B618" s="14" t="n">
        <x:v>65</x:v>
      </x:c>
      <x:c r="C618" s="14" t="str">
        <x:v>CHEFFERIE</x:v>
      </x:c>
      <x:c r="D618" s="14" t="str">
        <x:v>Gamu</x:v>
      </x:c>
      <x:c r="E618" s="14"/>
      <x:c r="F618" s="14"/>
      <x:c r="G618" s="14"/>
      <x:c r="H618" s="14"/>
      <x:c r="I618" s="14" t="n">
        <x:v>2018</x:v>
      </x:c>
      <x:c r="J618" s="14" t="str">
        <x:v>S06</x:v>
      </x:c>
      <x:c r="K618" s="14" t="str">
        <x:v>HISTORIQUE_CENI_2018_A_VALIDER</x:v>
      </x:c>
    </x:row>
    <x:row r="619">
      <x:c r="A619" s="14" t="n">
        <x:v>616</x:v>
      </x:c>
      <x:c r="B619" s="14" t="n">
        <x:v>65</x:v>
      </x:c>
      <x:c r="C619" s="14" t="str">
        <x:v>SECTEUR</x:v>
      </x:c>
      <x:c r="D619" s="14" t="str">
        <x:v>Kembisa</x:v>
      </x:c>
      <x:c r="E619" s="14"/>
      <x:c r="F619" s="14"/>
      <x:c r="G619" s="14"/>
      <x:c r="H619" s="14"/>
      <x:c r="I619" s="14" t="n">
        <x:v>2018</x:v>
      </x:c>
      <x:c r="J619" s="14" t="str">
        <x:v>S06</x:v>
      </x:c>
      <x:c r="K619" s="14" t="str">
        <x:v>HISTORIQUE_CENI_2018_A_VALIDER</x:v>
      </x:c>
    </x:row>
    <x:row r="620">
      <x:c r="A620" s="14" t="n">
        <x:v>617</x:v>
      </x:c>
      <x:c r="B620" s="14" t="n">
        <x:v>65</x:v>
      </x:c>
      <x:c r="C620" s="14" t="str">
        <x:v>CHEFFERIE</x:v>
      </x:c>
      <x:c r="D620" s="14" t="str">
        <x:v>Kipate</x:v>
      </x:c>
      <x:c r="E620" s="14"/>
      <x:c r="F620" s="14"/>
      <x:c r="G620" s="14"/>
      <x:c r="H620" s="14"/>
      <x:c r="I620" s="14" t="n">
        <x:v>2018</x:v>
      </x:c>
      <x:c r="J620" s="14" t="str">
        <x:v>S06</x:v>
      </x:c>
      <x:c r="K620" s="14" t="str">
        <x:v>HISTORIQUE_CENI_2018_A_VALIDER</x:v>
      </x:c>
    </x:row>
    <x:row r="621">
      <x:c r="A621" s="14" t="n">
        <x:v>618</x:v>
      </x:c>
      <x:c r="B621" s="14" t="n">
        <x:v>65</x:v>
      </x:c>
      <x:c r="C621" s="14" t="str">
        <x:v>CHEFFERIE</x:v>
      </x:c>
      <x:c r="D621" s="14" t="str">
        <x:v>Kumendeni</x:v>
      </x:c>
      <x:c r="E621" s="14"/>
      <x:c r="F621" s="14"/>
      <x:c r="G621" s="14"/>
      <x:c r="H621" s="14"/>
      <x:c r="I621" s="14" t="n">
        <x:v>2018</x:v>
      </x:c>
      <x:c r="J621" s="14" t="str">
        <x:v>S06</x:v>
      </x:c>
      <x:c r="K621" s="14" t="str">
        <x:v>HISTORIQUE_CENI_2018_A_VALIDER</x:v>
      </x:c>
    </x:row>
    <x:row r="622">
      <x:c r="A622" s="14" t="n">
        <x:v>619</x:v>
      </x:c>
      <x:c r="B622" s="14" t="n">
        <x:v>65</x:v>
      </x:c>
      <x:c r="C622" s="14" t="str">
        <x:v>CHEFFERIE</x:v>
      </x:c>
      <x:c r="D622" s="14" t="str">
        <x:v>Mabanga</x:v>
      </x:c>
      <x:c r="E622" s="14"/>
      <x:c r="F622" s="14"/>
      <x:c r="G622" s="14"/>
      <x:c r="H622" s="14"/>
      <x:c r="I622" s="14" t="n">
        <x:v>2018</x:v>
      </x:c>
      <x:c r="J622" s="14" t="str">
        <x:v>S06</x:v>
      </x:c>
      <x:c r="K622" s="14" t="str">
        <x:v>HISTORIQUE_CENI_2018_A_VALIDER</x:v>
      </x:c>
    </x:row>
    <x:row r="623">
      <x:c r="A623" s="14" t="n">
        <x:v>620</x:v>
      </x:c>
      <x:c r="B623" s="14" t="n">
        <x:v>65</x:v>
      </x:c>
      <x:c r="C623" s="14" t="str">
        <x:v>CHEFFERIE</x:v>
      </x:c>
      <x:c r="D623" s="14" t="str">
        <x:v>Madi</x:v>
      </x:c>
      <x:c r="E623" s="14"/>
      <x:c r="F623" s="14"/>
      <x:c r="G623" s="14"/>
      <x:c r="H623" s="14"/>
      <x:c r="I623" s="14" t="n">
        <x:v>2018</x:v>
      </x:c>
      <x:c r="J623" s="14" t="str">
        <x:v>S06</x:v>
      </x:c>
      <x:c r="K623" s="14" t="str">
        <x:v>HISTORIQUE_CENI_2018_A_VALIDER</x:v>
      </x:c>
    </x:row>
    <x:row r="624">
      <x:c r="A624" s="14" t="n">
        <x:v>621</x:v>
      </x:c>
      <x:c r="B624" s="14" t="n">
        <x:v>65</x:v>
      </x:c>
      <x:c r="C624" s="14" t="str">
        <x:v>CHEFFERIE</x:v>
      </x:c>
      <x:c r="D624" s="14" t="str">
        <x:v>Malele</x:v>
      </x:c>
      <x:c r="E624" s="14"/>
      <x:c r="F624" s="14"/>
      <x:c r="G624" s="14"/>
      <x:c r="H624" s="14"/>
      <x:c r="I624" s="14" t="n">
        <x:v>2018</x:v>
      </x:c>
      <x:c r="J624" s="14" t="str">
        <x:v>S06</x:v>
      </x:c>
      <x:c r="K624" s="14" t="str">
        <x:v>HISTORIQUE_CENI_2018_A_VALIDER</x:v>
      </x:c>
    </x:row>
    <x:row r="625">
      <x:c r="A625" s="14" t="n">
        <x:v>622</x:v>
      </x:c>
      <x:c r="B625" s="14" t="n">
        <x:v>65</x:v>
      </x:c>
      <x:c r="C625" s="14" t="str">
        <x:v>CHEFFERIE</x:v>
      </x:c>
      <x:c r="D625" s="14" t="str">
        <x:v>Ngbaradi</x:v>
      </x:c>
      <x:c r="E625" s="14"/>
      <x:c r="F625" s="14"/>
      <x:c r="G625" s="14"/>
      <x:c r="H625" s="14"/>
      <x:c r="I625" s="14" t="n">
        <x:v>2018</x:v>
      </x:c>
      <x:c r="J625" s="14" t="str">
        <x:v>S06</x:v>
      </x:c>
      <x:c r="K625" s="14" t="str">
        <x:v>HISTORIQUE_CENI_2018_A_VALIDER</x:v>
      </x:c>
    </x:row>
    <x:row r="626">
      <x:c r="A626" s="14" t="n">
        <x:v>623</x:v>
      </x:c>
      <x:c r="B626" s="14" t="n">
        <x:v>65</x:v>
      </x:c>
      <x:c r="C626" s="14" t="str">
        <x:v>CHEFFERIE</x:v>
      </x:c>
      <x:c r="D626" s="14" t="str">
        <x:v>Soronga</x:v>
      </x:c>
      <x:c r="E626" s="14"/>
      <x:c r="F626" s="14"/>
      <x:c r="G626" s="14"/>
      <x:c r="H626" s="14"/>
      <x:c r="I626" s="14" t="n">
        <x:v>2018</x:v>
      </x:c>
      <x:c r="J626" s="14" t="str">
        <x:v>S06</x:v>
      </x:c>
      <x:c r="K626" s="14" t="str">
        <x:v>HISTORIQUE_CENI_2018_A_VALIDER</x:v>
      </x:c>
    </x:row>
    <x:row r="627">
      <x:c r="A627" s="14" t="n">
        <x:v>624</x:v>
      </x:c>
      <x:c r="B627" s="14" t="n">
        <x:v>65</x:v>
      </x:c>
      <x:c r="C627" s="14" t="str">
        <x:v>CHEFFERIE</x:v>
      </x:c>
      <x:c r="D627" s="14" t="str">
        <x:v>Zune</x:v>
      </x:c>
      <x:c r="E627" s="14"/>
      <x:c r="F627" s="14"/>
      <x:c r="G627" s="14"/>
      <x:c r="H627" s="14"/>
      <x:c r="I627" s="14" t="n">
        <x:v>2018</x:v>
      </x:c>
      <x:c r="J627" s="14" t="str">
        <x:v>S06</x:v>
      </x:c>
      <x:c r="K627" s="14" t="str">
        <x:v>HISTORIQUE_CENI_2018_A_VALIDER</x:v>
      </x:c>
    </x:row>
    <x:row r="628">
      <x:c r="A628" s="14" t="n">
        <x:v>625</x:v>
      </x:c>
      <x:c r="B628" s="14" t="n">
        <x:v>15</x:v>
      </x:c>
      <x:c r="C628" s="14" t="str">
        <x:v>SECTEUR</x:v>
      </x:c>
      <x:c r="D628" s="14" t="str">
        <x:v>Lufuna</x:v>
      </x:c>
      <x:c r="E628" s="14"/>
      <x:c r="F628" s="14"/>
      <x:c r="G628" s="14"/>
      <x:c r="H628" s="14"/>
      <x:c r="I628" s="14" t="n">
        <x:v>2018</x:v>
      </x:c>
      <x:c r="J628" s="14" t="str">
        <x:v>S06</x:v>
      </x:c>
      <x:c r="K628" s="14" t="str">
        <x:v>HISTORIQUE_CENI_2018_A_VALIDER</x:v>
      </x:c>
    </x:row>
    <x:row r="629">
      <x:c r="A629" s="14" t="n">
        <x:v>626</x:v>
      </x:c>
      <x:c r="B629" s="14" t="n">
        <x:v>15</x:v>
      </x:c>
      <x:c r="C629" s="14" t="str">
        <x:v>SECTEUR</x:v>
      </x:c>
      <x:c r="D629" s="14" t="str">
        <x:v>Popokabaka</x:v>
      </x:c>
      <x:c r="E629" s="14"/>
      <x:c r="F629" s="14"/>
      <x:c r="G629" s="14"/>
      <x:c r="H629" s="14"/>
      <x:c r="I629" s="14" t="n">
        <x:v>2018</x:v>
      </x:c>
      <x:c r="J629" s="14" t="str">
        <x:v>S06</x:v>
      </x:c>
      <x:c r="K629" s="14" t="str">
        <x:v>HISTORIQUE_CENI_2018_A_VALIDER</x:v>
      </x:c>
    </x:row>
    <x:row r="630">
      <x:c r="A630" s="14" t="n">
        <x:v>627</x:v>
      </x:c>
      <x:c r="B630" s="14" t="n">
        <x:v>15</x:v>
      </x:c>
      <x:c r="C630" s="14" t="str">
        <x:v>SECTEUR</x:v>
      </x:c>
      <x:c r="D630" s="14" t="str">
        <x:v>Yonso</x:v>
      </x:c>
      <x:c r="E630" s="14"/>
      <x:c r="F630" s="14"/>
      <x:c r="G630" s="14"/>
      <x:c r="H630" s="14"/>
      <x:c r="I630" s="14" t="n">
        <x:v>2018</x:v>
      </x:c>
      <x:c r="J630" s="14" t="str">
        <x:v>S06</x:v>
      </x:c>
      <x:c r="K630" s="14" t="str">
        <x:v>HISTORIQUE_CENI_2018_A_VALIDER</x:v>
      </x:c>
    </x:row>
    <x:row r="631">
      <x:c r="A631" s="14" t="n">
        <x:v>628</x:v>
      </x:c>
      <x:c r="B631" s="14" t="n">
        <x:v>97</x:v>
      </x:c>
      <x:c r="C631" s="14" t="str">
        <x:v>SECTEUR</x:v>
      </x:c>
      <x:c r="D631" s="14" t="str">
        <x:v>Babira Bakwame</x:v>
      </x:c>
      <x:c r="E631" s="14"/>
      <x:c r="F631" s="14"/>
      <x:c r="G631" s="14"/>
      <x:c r="H631" s="14"/>
      <x:c r="I631" s="14" t="n">
        <x:v>2018</x:v>
      </x:c>
      <x:c r="J631" s="14" t="str">
        <x:v>S06</x:v>
      </x:c>
      <x:c r="K631" s="14" t="str">
        <x:v>HISTORIQUE_CENI_2018_A_VALIDER</x:v>
      </x:c>
    </x:row>
    <x:row r="632">
      <x:c r="A632" s="14" t="n">
        <x:v>629</x:v>
      </x:c>
      <x:c r="B632" s="14" t="n">
        <x:v>97</x:v>
      </x:c>
      <x:c r="C632" s="14" t="str">
        <x:v>SECTEUR</x:v>
      </x:c>
      <x:c r="D632" s="14" t="str">
        <x:v>Baleka</x:v>
      </x:c>
      <x:c r="E632" s="14"/>
      <x:c r="F632" s="14"/>
      <x:c r="G632" s="14"/>
      <x:c r="H632" s="14"/>
      <x:c r="I632" s="14" t="n">
        <x:v>2018</x:v>
      </x:c>
      <x:c r="J632" s="14" t="str">
        <x:v>S06</x:v>
      </x:c>
      <x:c r="K632" s="14" t="str">
        <x:v>HISTORIQUE_CENI_2018_A_VALIDER</x:v>
      </x:c>
    </x:row>
    <x:row r="633">
      <x:c r="A633" s="14" t="n">
        <x:v>630</x:v>
      </x:c>
      <x:c r="B633" s="14" t="n">
        <x:v>97</x:v>
      </x:c>
      <x:c r="C633" s="14" t="str">
        <x:v>SECTEUR</x:v>
      </x:c>
      <x:c r="D633" s="14" t="str">
        <x:v>Ulindi</x:v>
      </x:c>
      <x:c r="E633" s="14"/>
      <x:c r="F633" s="14"/>
      <x:c r="G633" s="14"/>
      <x:c r="H633" s="14"/>
      <x:c r="I633" s="14" t="n">
        <x:v>2018</x:v>
      </x:c>
      <x:c r="J633" s="14" t="str">
        <x:v>S06</x:v>
      </x:c>
      <x:c r="K633" s="14" t="str">
        <x:v>HISTORIQUE_CENI_2018_A_VALIDER</x:v>
      </x:c>
    </x:row>
    <x:row r="634">
      <x:c r="A634" s="14" t="n">
        <x:v>631</x:v>
      </x:c>
      <x:c r="B634" s="14" t="n">
        <x:v>102</x:v>
      </x:c>
      <x:c r="C634" s="14" t="str">
        <x:v>CHEFFERIE</x:v>
      </x:c>
      <x:c r="D634" s="14" t="str">
        <x:v>Kiona-Nzini</x:v>
      </x:c>
      <x:c r="E634" s="14"/>
      <x:c r="F634" s="14"/>
      <x:c r="G634" s="14"/>
      <x:c r="H634" s="14"/>
      <x:c r="I634" s="14" t="n">
        <x:v>2018</x:v>
      </x:c>
      <x:c r="J634" s="14" t="str">
        <x:v>S06</x:v>
      </x:c>
      <x:c r="K634" s="14" t="str">
        <x:v>HISTORIQUE_CENI_2018_A_VALIDER</x:v>
      </x:c>
    </x:row>
    <x:row r="635">
      <x:c r="A635" s="14" t="n">
        <x:v>632</x:v>
      </x:c>
      <x:c r="B635" s="14" t="n">
        <x:v>102</x:v>
      </x:c>
      <x:c r="C635" s="14" t="str">
        <x:v>SECTEUR</x:v>
      </x:c>
      <x:c r="D635" s="14" t="str">
        <x:v>Moero</x:v>
      </x:c>
      <x:c r="E635" s="14"/>
      <x:c r="F635" s="14"/>
      <x:c r="G635" s="14"/>
      <x:c r="H635" s="14"/>
      <x:c r="I635" s="14" t="n">
        <x:v>2018</x:v>
      </x:c>
      <x:c r="J635" s="14" t="str">
        <x:v>S06</x:v>
      </x:c>
      <x:c r="K635" s="14" t="str">
        <x:v>HISTORIQUE_CENI_2018_A_VALIDER</x:v>
      </x:c>
    </x:row>
    <x:row r="636">
      <x:c r="A636" s="14" t="n">
        <x:v>633</x:v>
      </x:c>
      <x:c r="B636" s="14" t="n">
        <x:v>102</x:v>
      </x:c>
      <x:c r="C636" s="14" t="str">
        <x:v>SECTEUR</x:v>
      </x:c>
      <x:c r="D636" s="14" t="str">
        <x:v>Mwenge</x:v>
      </x:c>
      <x:c r="E636" s="14"/>
      <x:c r="F636" s="14"/>
      <x:c r="G636" s="14"/>
      <x:c r="H636" s="14"/>
      <x:c r="I636" s="14" t="n">
        <x:v>2018</x:v>
      </x:c>
      <x:c r="J636" s="14" t="str">
        <x:v>S06</x:v>
      </x:c>
      <x:c r="K636" s="14" t="str">
        <x:v>HISTORIQUE_CENI_2018_A_VALIDER</x:v>
      </x:c>
    </x:row>
    <x:row r="637">
      <x:c r="A637" s="14" t="n">
        <x:v>634</x:v>
      </x:c>
      <x:c r="B637" s="14" t="n">
        <x:v>102</x:v>
      </x:c>
      <x:c r="C637" s="14" t="str">
        <x:v>CHEFFERIE</x:v>
      </x:c>
      <x:c r="D637" s="14" t="str">
        <x:v>Pweto</x:v>
      </x:c>
      <x:c r="E637" s="14"/>
      <x:c r="F637" s="14"/>
      <x:c r="G637" s="14"/>
      <x:c r="H637" s="14"/>
      <x:c r="I637" s="14" t="n">
        <x:v>2018</x:v>
      </x:c>
      <x:c r="J637" s="14" t="str">
        <x:v>S06</x:v>
      </x:c>
      <x:c r="K637" s="14" t="str">
        <x:v>HISTORIQUE_CENI_2018_A_VALIDER</x:v>
      </x:c>
    </x:row>
    <x:row r="638">
      <x:c r="A638" s="14" t="n">
        <x:v>635</x:v>
      </x:c>
      <x:c r="B638" s="14" t="n">
        <x:v>69</x:v>
      </x:c>
      <x:c r="C638" s="14" t="str">
        <x:v>CHEFFERIE</x:v>
      </x:c>
      <x:c r="D638" s="14" t="str">
        <x:v>Azanga</x:v>
      </x:c>
      <x:c r="E638" s="14"/>
      <x:c r="F638" s="14"/>
      <x:c r="G638" s="14"/>
      <x:c r="H638" s="14"/>
      <x:c r="I638" s="14" t="n">
        <x:v>2018</x:v>
      </x:c>
      <x:c r="J638" s="14" t="str">
        <x:v>S06</x:v>
      </x:c>
      <x:c r="K638" s="14" t="str">
        <x:v>HISTORIQUE_CENI_2018_A_VALIDER</x:v>
      </x:c>
    </x:row>
    <x:row r="639">
      <x:c r="A639" s="14" t="n">
        <x:v>636</x:v>
      </x:c>
      <x:c r="B639" s="14" t="n">
        <x:v>69</x:v>
      </x:c>
      <x:c r="C639" s="14" t="str">
        <x:v>CHEFFERIE</x:v>
      </x:c>
      <x:c r="D639" s="14" t="str">
        <x:v>Mayogo-Mabozo</x:v>
      </x:c>
      <x:c r="E639" s="14"/>
      <x:c r="F639" s="14"/>
      <x:c r="G639" s="14"/>
      <x:c r="H639" s="14"/>
      <x:c r="I639" s="14" t="n">
        <x:v>2018</x:v>
      </x:c>
      <x:c r="J639" s="14" t="str">
        <x:v>S06</x:v>
      </x:c>
      <x:c r="K639" s="14" t="str">
        <x:v>HISTORIQUE_CENI_2018_A_VALIDER</x:v>
      </x:c>
    </x:row>
    <x:row r="640">
      <x:c r="A640" s="14" t="n">
        <x:v>637</x:v>
      </x:c>
      <x:c r="B640" s="14" t="n">
        <x:v>69</x:v>
      </x:c>
      <x:c r="C640" s="14" t="str">
        <x:v>CHEFFERIE</x:v>
      </x:c>
      <x:c r="D640" s="14" t="str">
        <x:v>Mayogo-Magbay</x:v>
      </x:c>
      <x:c r="E640" s="14"/>
      <x:c r="F640" s="14"/>
      <x:c r="G640" s="14"/>
      <x:c r="H640" s="14"/>
      <x:c r="I640" s="14" t="n">
        <x:v>2018</x:v>
      </x:c>
      <x:c r="J640" s="14" t="str">
        <x:v>S06</x:v>
      </x:c>
      <x:c r="K640" s="14" t="str">
        <x:v>HISTORIQUE_CENI_2018_A_VALIDER</x:v>
      </x:c>
    </x:row>
    <x:row r="641">
      <x:c r="A641" s="14" t="n">
        <x:v>638</x:v>
      </x:c>
      <x:c r="B641" s="14" t="n">
        <x:v>69</x:v>
      </x:c>
      <x:c r="C641" s="14" t="str">
        <x:v>CHEFFERIE</x:v>
      </x:c>
      <x:c r="D641" s="14" t="str">
        <x:v>Mboli</x:v>
      </x:c>
      <x:c r="E641" s="14"/>
      <x:c r="F641" s="14"/>
      <x:c r="G641" s="14"/>
      <x:c r="H641" s="14"/>
      <x:c r="I641" s="14" t="n">
        <x:v>2018</x:v>
      </x:c>
      <x:c r="J641" s="14" t="str">
        <x:v>S06</x:v>
      </x:c>
      <x:c r="K641" s="14" t="str">
        <x:v>HISTORIQUE_CENI_2018_A_VALIDER</x:v>
      </x:c>
    </x:row>
    <x:row r="642">
      <x:c r="A642" s="14" t="n">
        <x:v>639</x:v>
      </x:c>
      <x:c r="B642" s="14" t="n">
        <x:v>69</x:v>
      </x:c>
      <x:c r="C642" s="14" t="str">
        <x:v>CHEFFERIE</x:v>
      </x:c>
      <x:c r="D642" s="14" t="str">
        <x:v>Medje-Mango</x:v>
      </x:c>
      <x:c r="E642" s="14"/>
      <x:c r="F642" s="14"/>
      <x:c r="G642" s="14"/>
      <x:c r="H642" s="14"/>
      <x:c r="I642" s="14" t="n">
        <x:v>2018</x:v>
      </x:c>
      <x:c r="J642" s="14" t="str">
        <x:v>S06</x:v>
      </x:c>
      <x:c r="K642" s="14" t="str">
        <x:v>HISTORIQUE_CENI_2018_A_VALIDER</x:v>
      </x:c>
    </x:row>
    <x:row r="643">
      <x:c r="A643" s="14" t="n">
        <x:v>640</x:v>
      </x:c>
      <x:c r="B643" s="14" t="n">
        <x:v>69</x:v>
      </x:c>
      <x:c r="C643" s="14" t="str">
        <x:v>CHEFFERIE</x:v>
      </x:c>
      <x:c r="D643" s="14" t="str">
        <x:v>Mongo-Masi</x:v>
      </x:c>
      <x:c r="E643" s="14"/>
      <x:c r="F643" s="14"/>
      <x:c r="G643" s="14"/>
      <x:c r="H643" s="14"/>
      <x:c r="I643" s="14" t="n">
        <x:v>2018</x:v>
      </x:c>
      <x:c r="J643" s="14" t="str">
        <x:v>S06</x:v>
      </x:c>
      <x:c r="K643" s="14" t="str">
        <x:v>HISTORIQUE_CENI_2018_A_VALIDER</x:v>
      </x:c>
    </x:row>
    <x:row r="644">
      <x:c r="A644" s="14" t="n">
        <x:v>641</x:v>
      </x:c>
      <x:c r="B644" s="14" t="n">
        <x:v>69</x:v>
      </x:c>
      <x:c r="C644" s="14" t="str">
        <x:v>CHEFFERIE</x:v>
      </x:c>
      <x:c r="D644" s="14" t="str">
        <x:v>Ndey</x:v>
      </x:c>
      <x:c r="E644" s="14"/>
      <x:c r="F644" s="14"/>
      <x:c r="G644" s="14"/>
      <x:c r="H644" s="14"/>
      <x:c r="I644" s="14" t="n">
        <x:v>2018</x:v>
      </x:c>
      <x:c r="J644" s="14" t="str">
        <x:v>S06</x:v>
      </x:c>
      <x:c r="K644" s="14" t="str">
        <x:v>HISTORIQUE_CENI_2018_A_VALIDER</x:v>
      </x:c>
    </x:row>
    <x:row r="645">
      <x:c r="A645" s="14" t="n">
        <x:v>642</x:v>
      </x:c>
      <x:c r="B645" s="14" t="n">
        <x:v>81</x:v>
      </x:c>
      <x:c r="C645" s="14" t="str">
        <x:v>CHEFFERIE</x:v>
      </x:c>
      <x:c r="D645" s="14" t="str">
        <x:v>Bwito</x:v>
      </x:c>
      <x:c r="E645" s="14"/>
      <x:c r="F645" s="14"/>
      <x:c r="G645" s="14"/>
      <x:c r="H645" s="14"/>
      <x:c r="I645" s="14" t="n">
        <x:v>2018</x:v>
      </x:c>
      <x:c r="J645" s="14" t="str">
        <x:v>S06</x:v>
      </x:c>
      <x:c r="K645" s="14" t="str">
        <x:v>HISTORIQUE_CENI_2018_A_VALIDER</x:v>
      </x:c>
    </x:row>
    <x:row r="646">
      <x:c r="A646" s="14" t="n">
        <x:v>643</x:v>
      </x:c>
      <x:c r="B646" s="14" t="n">
        <x:v>81</x:v>
      </x:c>
      <x:c r="C646" s="14" t="str">
        <x:v>CHEFFERIE</x:v>
      </x:c>
      <x:c r="D646" s="14" t="str">
        <x:v>Bwisha</x:v>
      </x:c>
      <x:c r="E646" s="14"/>
      <x:c r="F646" s="14"/>
      <x:c r="G646" s="14"/>
      <x:c r="H646" s="14"/>
      <x:c r="I646" s="14" t="n">
        <x:v>2018</x:v>
      </x:c>
      <x:c r="J646" s="14" t="str">
        <x:v>S06</x:v>
      </x:c>
      <x:c r="K646" s="14" t="str">
        <x:v>HISTORIQUE_CENI_2018_A_VALIDER</x:v>
      </x:c>
    </x:row>
    <x:row r="647">
      <x:c r="A647" s="14" t="n">
        <x:v>644</x:v>
      </x:c>
      <x:c r="B647" s="14" t="n">
        <x:v>103</x:v>
      </x:c>
      <x:c r="C647" s="14" t="str">
        <x:v>SECTEUR</x:v>
      </x:c>
      <x:c r="D647" s="14" t="str">
        <x:v>Balala</x:v>
      </x:c>
      <x:c r="E647" s="14"/>
      <x:c r="F647" s="14"/>
      <x:c r="G647" s="14"/>
      <x:c r="H647" s="14"/>
      <x:c r="I647" s="14" t="n">
        <x:v>2018</x:v>
      </x:c>
      <x:c r="J647" s="14" t="str">
        <x:v>S06</x:v>
      </x:c>
      <x:c r="K647" s="14" t="str">
        <x:v>HISTORIQUE_CENI_2018_A_VALIDER</x:v>
      </x:c>
    </x:row>
    <x:row r="648">
      <x:c r="A648" s="14" t="n">
        <x:v>645</x:v>
      </x:c>
      <x:c r="B648" s="14" t="n">
        <x:v>103</x:v>
      </x:c>
      <x:c r="C648" s="14" t="str">
        <x:v>SECTEUR</x:v>
      </x:c>
      <x:c r="D648" s="14" t="str">
        <x:v>Balamba</x:v>
      </x:c>
      <x:c r="E648" s="14"/>
      <x:c r="F648" s="14"/>
      <x:c r="G648" s="14"/>
      <x:c r="H648" s="14"/>
      <x:c r="I648" s="14" t="n">
        <x:v>2018</x:v>
      </x:c>
      <x:c r="J648" s="14" t="str">
        <x:v>S06</x:v>
      </x:c>
      <x:c r="K648" s="14" t="str">
        <x:v>HISTORIQUE_CENI_2018_A_VALIDER</x:v>
      </x:c>
    </x:row>
    <x:row r="649">
      <x:c r="A649" s="14" t="n">
        <x:v>646</x:v>
      </x:c>
      <x:c r="B649" s="14" t="n">
        <x:v>103</x:v>
      </x:c>
      <x:c r="C649" s="14" t="str">
        <x:v>SECTEUR</x:v>
      </x:c>
      <x:c r="D649" s="14" t="str">
        <x:v>Baushi-Mwenda</x:v>
      </x:c>
      <x:c r="E649" s="14"/>
      <x:c r="F649" s="14"/>
      <x:c r="G649" s="14"/>
      <x:c r="H649" s="14"/>
      <x:c r="I649" s="14" t="n">
        <x:v>2018</x:v>
      </x:c>
      <x:c r="J649" s="14" t="str">
        <x:v>S06</x:v>
      </x:c>
      <x:c r="K649" s="14" t="str">
        <x:v>HISTORIQUE_CENI_2018_A_VALIDER</x:v>
      </x:c>
    </x:row>
    <x:row r="650">
      <x:c r="A650" s="14" t="n">
        <x:v>647</x:v>
      </x:c>
      <x:c r="B650" s="14" t="n">
        <x:v>108</x:v>
      </x:c>
      <x:c r="C650" s="14" t="str">
        <x:v>CHEFFERIE</x:v>
      </x:c>
      <x:c r="D650" s="14" t="str">
        <x:v>Kayembe-Mukulu</x:v>
      </x:c>
      <x:c r="E650" s="14"/>
      <x:c r="F650" s="14"/>
      <x:c r="G650" s="14"/>
      <x:c r="H650" s="14"/>
      <x:c r="I650" s="14" t="n">
        <x:v>2018</x:v>
      </x:c>
      <x:c r="J650" s="14" t="str">
        <x:v>S06</x:v>
      </x:c>
      <x:c r="K650" s="14" t="str">
        <x:v>HISTORIQUE_CENI_2018_A_VALIDER</x:v>
      </x:c>
    </x:row>
    <x:row r="651">
      <x:c r="A651" s="14" t="n">
        <x:v>648</x:v>
      </x:c>
      <x:c r="B651" s="14" t="n">
        <x:v>108</x:v>
      </x:c>
      <x:c r="C651" s="14" t="str">
        <x:v>CHEFFERIE</x:v>
      </x:c>
      <x:c r="D651" s="14" t="str">
        <x:v>Lumanga</x:v>
      </x:c>
      <x:c r="E651" s="14"/>
      <x:c r="F651" s="14"/>
      <x:c r="G651" s="14"/>
      <x:c r="H651" s="14"/>
      <x:c r="I651" s="14" t="n">
        <x:v>2018</x:v>
      </x:c>
      <x:c r="J651" s="14" t="str">
        <x:v>S06</x:v>
      </x:c>
      <x:c r="K651" s="14" t="str">
        <x:v>HISTORIQUE_CENI_2018_A_VALIDER</x:v>
      </x:c>
    </x:row>
    <x:row r="652">
      <x:c r="A652" s="14" t="n">
        <x:v>649</x:v>
      </x:c>
      <x:c r="B652" s="14" t="n">
        <x:v>108</x:v>
      </x:c>
      <x:c r="C652" s="14" t="str">
        <x:v>CHEFFERIE</x:v>
      </x:c>
      <x:c r="D652" s="14" t="str">
        <x:v>Mbako</x:v>
      </x:c>
      <x:c r="E652" s="14"/>
      <x:c r="F652" s="14"/>
      <x:c r="G652" s="14"/>
      <x:c r="H652" s="14"/>
      <x:c r="I652" s="14" t="n">
        <x:v>2018</x:v>
      </x:c>
      <x:c r="J652" s="14" t="str">
        <x:v>S06</x:v>
      </x:c>
      <x:c r="K652" s="14" t="str">
        <x:v>HISTORIQUE_CENI_2018_A_VALIDER</x:v>
      </x:c>
    </x:row>
    <x:row r="653">
      <x:c r="A653" s="14" t="n">
        <x:v>650</x:v>
      </x:c>
      <x:c r="B653" s="14" t="n">
        <x:v>108</x:v>
      </x:c>
      <x:c r="C653" s="14" t="str">
        <x:v>CHEFFERIE</x:v>
      </x:c>
      <x:c r="D653" s="14" t="str">
        <x:v>Muteba</x:v>
      </x:c>
      <x:c r="E653" s="14"/>
      <x:c r="F653" s="14"/>
      <x:c r="G653" s="14"/>
      <x:c r="H653" s="14"/>
      <x:c r="I653" s="14" t="n">
        <x:v>2018</x:v>
      </x:c>
      <x:c r="J653" s="14" t="str">
        <x:v>S06</x:v>
      </x:c>
      <x:c r="K653" s="14" t="str">
        <x:v>HISTORIQUE_CENI_2018_A_VALIDER</x:v>
      </x:c>
    </x:row>
    <x:row r="654">
      <x:c r="A654" s="14" t="n">
        <x:v>651</x:v>
      </x:c>
      <x:c r="B654" s="14" t="n">
        <x:v>108</x:v>
      </x:c>
      <x:c r="C654" s="14" t="str">
        <x:v>CHEFFERIE</x:v>
      </x:c>
      <x:c r="D654" s="14" t="str">
        <x:v>Sakundundu</x:v>
      </x:c>
      <x:c r="E654" s="14"/>
      <x:c r="F654" s="14"/>
      <x:c r="G654" s="14"/>
      <x:c r="H654" s="14"/>
      <x:c r="I654" s="14" t="n">
        <x:v>2018</x:v>
      </x:c>
      <x:c r="J654" s="14" t="str">
        <x:v>S06</x:v>
      </x:c>
      <x:c r="K654" s="14" t="str">
        <x:v>HISTORIQUE_CENI_2018_A_VALIDER</x:v>
      </x:c>
    </x:row>
    <x:row r="655">
      <x:c r="A655" s="14" t="n">
        <x:v>652</x:v>
      </x:c>
      <x:c r="B655" s="14" t="n">
        <x:v>108</x:v>
      </x:c>
      <x:c r="C655" s="14" t="str">
        <x:v>CHEFFERIE</x:v>
      </x:c>
      <x:c r="D655" s="14" t="str">
        <x:v>Samutoma</x:v>
      </x:c>
      <x:c r="E655" s="14"/>
      <x:c r="F655" s="14"/>
      <x:c r="G655" s="14"/>
      <x:c r="H655" s="14"/>
      <x:c r="I655" s="14" t="n">
        <x:v>2018</x:v>
      </x:c>
      <x:c r="J655" s="14" t="str">
        <x:v>S06</x:v>
      </x:c>
      <x:c r="K655" s="14" t="str">
        <x:v>HISTORIQUE_CENI_2018_A_VALIDER</x:v>
      </x:c>
    </x:row>
    <x:row r="656">
      <x:c r="A656" s="14" t="n">
        <x:v>653</x:v>
      </x:c>
      <x:c r="B656" s="14" t="n">
        <x:v>108</x:v>
      </x:c>
      <x:c r="C656" s="14" t="str">
        <x:v>CHEFFERIE</x:v>
      </x:c>
      <x:c r="D656" s="14" t="str">
        <x:v>Tshibamba</x:v>
      </x:c>
      <x:c r="E656" s="14"/>
      <x:c r="F656" s="14"/>
      <x:c r="G656" s="14"/>
      <x:c r="H656" s="14"/>
      <x:c r="I656" s="14" t="n">
        <x:v>2018</x:v>
      </x:c>
      <x:c r="J656" s="14" t="str">
        <x:v>S06</x:v>
      </x:c>
      <x:c r="K656" s="14" t="str">
        <x:v>HISTORIQUE_CENI_2018_A_VALIDER</x:v>
      </x:c>
    </x:row>
    <x:row r="657">
      <x:c r="A657" s="14" t="n">
        <x:v>654</x:v>
      </x:c>
      <x:c r="B657" s="14" t="n">
        <x:v>108</x:v>
      </x:c>
      <x:c r="C657" s="14" t="str">
        <x:v>CHEFFERIE</x:v>
      </x:c>
      <x:c r="D657" s="14" t="str">
        <x:v>Tshipao</x:v>
      </x:c>
      <x:c r="E657" s="14"/>
      <x:c r="F657" s="14"/>
      <x:c r="G657" s="14"/>
      <x:c r="H657" s="14"/>
      <x:c r="I657" s="14" t="n">
        <x:v>2018</x:v>
      </x:c>
      <x:c r="J657" s="14" t="str">
        <x:v>S06</x:v>
      </x:c>
      <x:c r="K657" s="14" t="str">
        <x:v>HISTORIQUE_CENI_2018_A_VALIDER</x:v>
      </x:c>
    </x:row>
    <x:row r="658">
      <x:c r="A658" s="14" t="n">
        <x:v>655</x:v>
      </x:c>
      <x:c r="B658" s="14" t="n">
        <x:v>8</x:v>
      </x:c>
      <x:c r="C658" s="14" t="str">
        <x:v>SECTEUR</x:v>
      </x:c>
      <x:c r="D658" s="14" t="str">
        <x:v>Bundi</x:v>
      </x:c>
      <x:c r="E658" s="14"/>
      <x:c r="F658" s="14"/>
      <x:c r="G658" s="14"/>
      <x:c r="H658" s="14"/>
      <x:c r="I658" s="14" t="n">
        <x:v>2018</x:v>
      </x:c>
      <x:c r="J658" s="14" t="str">
        <x:v>S06</x:v>
      </x:c>
      <x:c r="K658" s="14" t="str">
        <x:v>HISTORIQUE_CENI_2018_A_VALIDER</x:v>
      </x:c>
    </x:row>
    <x:row r="659">
      <x:c r="A659" s="14" t="n">
        <x:v>656</x:v>
      </x:c>
      <x:c r="B659" s="14" t="n">
        <x:v>8</x:v>
      </x:c>
      <x:c r="C659" s="14" t="str">
        <x:v>SECTEUR</x:v>
      </x:c>
      <x:c r="D659" s="14" t="str">
        <x:v>Isangila</x:v>
      </x:c>
      <x:c r="E659" s="14"/>
      <x:c r="F659" s="14"/>
      <x:c r="G659" s="14"/>
      <x:c r="H659" s="14"/>
      <x:c r="I659" s="14" t="n">
        <x:v>2018</x:v>
      </x:c>
      <x:c r="J659" s="14" t="str">
        <x:v>S06</x:v>
      </x:c>
      <x:c r="K659" s="14" t="str">
        <x:v>HISTORIQUE_CENI_2018_A_VALIDER</x:v>
      </x:c>
    </x:row>
    <x:row r="660">
      <x:c r="A660" s="14" t="n">
        <x:v>657</x:v>
      </x:c>
      <x:c r="B660" s="14" t="n">
        <x:v>8</x:v>
      </x:c>
      <x:c r="C660" s="14" t="str">
        <x:v>SECTEUR</x:v>
      </x:c>
      <x:c r="D660" s="14" t="str">
        <x:v>Lufu</x:v>
      </x:c>
      <x:c r="E660" s="14"/>
      <x:c r="F660" s="14"/>
      <x:c r="G660" s="14"/>
      <x:c r="H660" s="14"/>
      <x:c r="I660" s="14" t="n">
        <x:v>2018</x:v>
      </x:c>
      <x:c r="J660" s="14" t="str">
        <x:v>S06</x:v>
      </x:c>
      <x:c r="K660" s="14" t="str">
        <x:v>HISTORIQUE_CENI_2018_A_VALIDER</x:v>
      </x:c>
    </x:row>
    <x:row r="661">
      <x:c r="A661" s="14" t="n">
        <x:v>658</x:v>
      </x:c>
      <x:c r="B661" s="14" t="n">
        <x:v>8</x:v>
      </x:c>
      <x:c r="C661" s="14" t="str">
        <x:v>SECTEUR</x:v>
      </x:c>
      <x:c r="D661" s="14" t="str">
        <x:v>Mbavu</x:v>
      </x:c>
      <x:c r="E661" s="14"/>
      <x:c r="F661" s="14"/>
      <x:c r="G661" s="14"/>
      <x:c r="H661" s="14"/>
      <x:c r="I661" s="14" t="n">
        <x:v>2018</x:v>
      </x:c>
      <x:c r="J661" s="14" t="str">
        <x:v>S06</x:v>
      </x:c>
      <x:c r="K661" s="14" t="str">
        <x:v>HISTORIQUE_CENI_2018_A_VALIDER</x:v>
      </x:c>
    </x:row>
    <x:row r="662">
      <x:c r="A662" s="14" t="n">
        <x:v>659</x:v>
      </x:c>
      <x:c r="B662" s="14" t="n">
        <x:v>8</x:v>
      </x:c>
      <x:c r="C662" s="14" t="str">
        <x:v>SECTEUR</x:v>
      </x:c>
      <x:c r="D662" s="14" t="str">
        <x:v>Sumbi</x:v>
      </x:c>
      <x:c r="E662" s="14"/>
      <x:c r="F662" s="14"/>
      <x:c r="G662" s="14"/>
      <x:c r="H662" s="14"/>
      <x:c r="I662" s="14" t="n">
        <x:v>2018</x:v>
      </x:c>
      <x:c r="J662" s="14" t="str">
        <x:v>S06</x:v>
      </x:c>
      <x:c r="K662" s="14" t="str">
        <x:v>HISTORIQUE_CENI_2018_A_VALIDER</x:v>
      </x:c>
    </x:row>
    <x:row r="663">
      <x:c r="A663" s="14" t="n">
        <x:v>660</x:v>
      </x:c>
      <x:c r="B663" s="14" t="n">
        <x:v>88</x:v>
      </x:c>
      <x:c r="C663" s="14" t="str">
        <x:v>CHEFFERIE</x:v>
      </x:c>
      <x:c r="D663" s="14" t="str">
        <x:v>Bakisi</x:v>
      </x:c>
      <x:c r="E663" s="14"/>
      <x:c r="F663" s="14"/>
      <x:c r="G663" s="14"/>
      <x:c r="H663" s="14"/>
      <x:c r="I663" s="14" t="n">
        <x:v>2018</x:v>
      </x:c>
      <x:c r="J663" s="14" t="str">
        <x:v>S06</x:v>
      </x:c>
      <x:c r="K663" s="14" t="str">
        <x:v>HISTORIQUE_CENI_2018_A_VALIDER</x:v>
      </x:c>
    </x:row>
    <x:row r="664">
      <x:c r="A664" s="14" t="n">
        <x:v>661</x:v>
      </x:c>
      <x:c r="B664" s="14" t="n">
        <x:v>88</x:v>
      </x:c>
      <x:c r="C664" s="14" t="str">
        <x:v>CHEFFERIE</x:v>
      </x:c>
      <x:c r="D664" s="14" t="str">
        <x:v>Wakabango</x:v>
      </x:c>
      <x:c r="E664" s="14"/>
      <x:c r="F664" s="14"/>
      <x:c r="G664" s="14"/>
      <x:c r="H664" s="14"/>
      <x:c r="I664" s="14" t="n">
        <x:v>2018</x:v>
      </x:c>
      <x:c r="J664" s="14" t="str">
        <x:v>S06</x:v>
      </x:c>
      <x:c r="K664" s="14" t="str">
        <x:v>HISTORIQUE_CENI_2018_A_VALIDER</x:v>
      </x:c>
    </x:row>
    <x:row r="665">
      <x:c r="A665" s="14" t="n">
        <x:v>662</x:v>
      </x:c>
      <x:c r="B665" s="14" t="n">
        <x:v>9</x:v>
      </x:c>
      <x:c r="C665" s="14" t="str">
        <x:v>SECTEUR</x:v>
      </x:c>
      <x:c r="D665" s="14" t="str">
        <x:v>Bamboma</x:v>
      </x:c>
      <x:c r="E665" s="14"/>
      <x:c r="F665" s="14"/>
      <x:c r="G665" s="14"/>
      <x:c r="H665" s="14"/>
      <x:c r="I665" s="14" t="n">
        <x:v>2018</x:v>
      </x:c>
      <x:c r="J665" s="14" t="str">
        <x:v>S06</x:v>
      </x:c>
      <x:c r="K665" s="14" t="str">
        <x:v>HISTORIQUE_CENI_2018_A_VALIDER</x:v>
      </x:c>
    </x:row>
    <x:row r="666">
      <x:c r="A666" s="14" t="n">
        <x:v>663</x:v>
      </x:c>
      <x:c r="B666" s="14" t="n">
        <x:v>9</x:v>
      </x:c>
      <x:c r="C666" s="14" t="str">
        <x:v>SECTEUR</x:v>
      </x:c>
      <x:c r="D666" s="14" t="str">
        <x:v>Kimpese</x:v>
      </x:c>
      <x:c r="E666" s="14"/>
      <x:c r="F666" s="14"/>
      <x:c r="G666" s="14"/>
      <x:c r="H666" s="14"/>
      <x:c r="I666" s="14" t="n">
        <x:v>2018</x:v>
      </x:c>
      <x:c r="J666" s="14" t="str">
        <x:v>S06</x:v>
      </x:c>
      <x:c r="K666" s="14" t="str">
        <x:v>HISTORIQUE_CENI_2018_A_VALIDER</x:v>
      </x:c>
    </x:row>
    <x:row r="667">
      <x:c r="A667" s="14" t="n">
        <x:v>664</x:v>
      </x:c>
      <x:c r="B667" s="14" t="n">
        <x:v>9</x:v>
      </x:c>
      <x:c r="C667" s="14" t="str">
        <x:v>SECTEUR</x:v>
      </x:c>
      <x:c r="D667" s="14" t="str">
        <x:v>Luima</x:v>
      </x:c>
      <x:c r="E667" s="14"/>
      <x:c r="F667" s="14"/>
      <x:c r="G667" s="14"/>
      <x:c r="H667" s="14"/>
      <x:c r="I667" s="14" t="n">
        <x:v>2018</x:v>
      </x:c>
      <x:c r="J667" s="14" t="str">
        <x:v>S06</x:v>
      </x:c>
      <x:c r="K667" s="14" t="str">
        <x:v>HISTORIQUE_CENI_2018_A_VALIDER</x:v>
      </x:c>
    </x:row>
    <x:row r="668">
      <x:c r="A668" s="14" t="n">
        <x:v>665</x:v>
      </x:c>
      <x:c r="B668" s="14" t="n">
        <x:v>9</x:v>
      </x:c>
      <x:c r="C668" s="14" t="str">
        <x:v>SECTEUR</x:v>
      </x:c>
      <x:c r="D668" s="14" t="str">
        <x:v>Palabala</x:v>
      </x:c>
      <x:c r="E668" s="14"/>
      <x:c r="F668" s="14"/>
      <x:c r="G668" s="14"/>
      <x:c r="H668" s="14"/>
      <x:c r="I668" s="14" t="n">
        <x:v>2018</x:v>
      </x:c>
      <x:c r="J668" s="14" t="str">
        <x:v>S06</x:v>
      </x:c>
      <x:c r="K668" s="14" t="str">
        <x:v>HISTORIQUE_CENI_2018_A_VALIDER</x:v>
      </x:c>
    </x:row>
    <x:row r="669">
      <x:c r="A669" s="14" t="n">
        <x:v>666</x:v>
      </x:c>
      <x:c r="B669" s="14" t="n">
        <x:v>9</x:v>
      </x:c>
      <x:c r="C669" s="14" t="str">
        <x:v>SECTEUR</x:v>
      </x:c>
      <x:c r="D669" s="14" t="str">
        <x:v>Wombo</x:v>
      </x:c>
      <x:c r="E669" s="14"/>
      <x:c r="F669" s="14"/>
      <x:c r="G669" s="14"/>
      <x:c r="H669" s="14"/>
      <x:c r="I669" s="14" t="n">
        <x:v>2018</x:v>
      </x:c>
      <x:c r="J669" s="14" t="str">
        <x:v>S06</x:v>
      </x:c>
      <x:c r="K669" s="14" t="str">
        <x:v>HISTORIQUE_CENI_2018_A_VALIDER</x:v>
      </x:c>
    </x:row>
    <x:row r="670">
      <x:c r="A670" s="14" t="n">
        <x:v>667</x:v>
      </x:c>
      <x:c r="B670" s="14" t="n">
        <x:v>10</x:v>
      </x:c>
      <x:c r="C670" s="14" t="str">
        <x:v>SECTEUR</x:v>
      </x:c>
      <x:c r="D670" s="14" t="str">
        <x:v>Bula-Naku</x:v>
      </x:c>
      <x:c r="E670" s="14"/>
      <x:c r="F670" s="14"/>
      <x:c r="G670" s="14"/>
      <x:c r="H670" s="14"/>
      <x:c r="I670" s="14" t="n">
        <x:v>2018</x:v>
      </x:c>
      <x:c r="J670" s="14" t="str">
        <x:v>S06</x:v>
      </x:c>
      <x:c r="K670" s="14" t="str">
        <x:v>HISTORIQUE_CENI_2018_A_VALIDER</x:v>
      </x:c>
    </x:row>
    <x:row r="671">
      <x:c r="A671" s="14" t="n">
        <x:v>668</x:v>
      </x:c>
      <x:c r="B671" s="14" t="n">
        <x:v>10</x:v>
      </x:c>
      <x:c r="C671" s="14" t="str">
        <x:v>SECTEUR</x:v>
      </x:c>
      <x:c r="D671" s="14" t="str">
        <x:v>Lubolo</x:v>
      </x:c>
      <x:c r="E671" s="14"/>
      <x:c r="F671" s="14"/>
      <x:c r="G671" s="14"/>
      <x:c r="H671" s="14"/>
      <x:c r="I671" s="14" t="n">
        <x:v>2018</x:v>
      </x:c>
      <x:c r="J671" s="14" t="str">
        <x:v>S06</x:v>
      </x:c>
      <x:c r="K671" s="14" t="str">
        <x:v>HISTORIQUE_CENI_2018_A_VALIDER</x:v>
      </x:c>
    </x:row>
    <x:row r="672">
      <x:c r="A672" s="14" t="n">
        <x:v>669</x:v>
      </x:c>
      <x:c r="B672" s="14" t="n">
        <x:v>10</x:v>
      </x:c>
      <x:c r="C672" s="14" t="str">
        <x:v>SECTEUR</x:v>
      </x:c>
      <x:c r="D672" s="14" t="str">
        <x:v>Lubuzi</x:v>
      </x:c>
      <x:c r="E672" s="14"/>
      <x:c r="F672" s="14"/>
      <x:c r="G672" s="14"/>
      <x:c r="H672" s="14"/>
      <x:c r="I672" s="14" t="n">
        <x:v>2018</x:v>
      </x:c>
      <x:c r="J672" s="14" t="str">
        <x:v>S06</x:v>
      </x:c>
      <x:c r="K672" s="14" t="str">
        <x:v>HISTORIQUE_CENI_2018_A_VALIDER</x:v>
      </x:c>
    </x:row>
    <x:row r="673">
      <x:c r="A673" s="14" t="n">
        <x:v>670</x:v>
      </x:c>
      <x:c r="B673" s="14" t="n">
        <x:v>10</x:v>
      </x:c>
      <x:c r="C673" s="14" t="str">
        <x:v>SECTEUR</x:v>
      </x:c>
      <x:c r="D673" s="14" t="str">
        <x:v>Loango</x:v>
      </x:c>
      <x:c r="E673" s="14"/>
      <x:c r="F673" s="14"/>
      <x:c r="G673" s="14"/>
      <x:c r="H673" s="14"/>
      <x:c r="I673" s="14" t="n">
        <x:v>2018</x:v>
      </x:c>
      <x:c r="J673" s="14" t="str">
        <x:v>S06</x:v>
      </x:c>
      <x:c r="K673" s="14" t="str">
        <x:v>HISTORIQUE_CENI_2018_A_VALIDER</x:v>
      </x:c>
    </x:row>
    <x:row r="674">
      <x:c r="A674" s="14" t="n">
        <x:v>671</x:v>
      </x:c>
      <x:c r="B674" s="14" t="n">
        <x:v>10</x:v>
      </x:c>
      <x:c r="C674" s="14" t="str">
        <x:v>SECTEUR</x:v>
      </x:c>
      <x:c r="D674" s="14" t="str">
        <x:v>Maduda</x:v>
      </x:c>
      <x:c r="E674" s="14"/>
      <x:c r="F674" s="14"/>
      <x:c r="G674" s="14"/>
      <x:c r="H674" s="14"/>
      <x:c r="I674" s="14" t="n">
        <x:v>2018</x:v>
      </x:c>
      <x:c r="J674" s="14" t="str">
        <x:v>S06</x:v>
      </x:c>
      <x:c r="K674" s="14" t="str">
        <x:v>HISTORIQUE_CENI_2018_A_VALIDER</x:v>
      </x:c>
    </x:row>
    <x:row r="675">
      <x:c r="A675" s="14" t="n">
        <x:v>672</x:v>
      </x:c>
      <x:c r="B675" s="14" t="n">
        <x:v>10</x:v>
      </x:c>
      <x:c r="C675" s="14" t="str">
        <x:v>SECTEUR</x:v>
      </x:c>
      <x:c r="D675" s="14" t="str">
        <x:v>Ngana-Sundi</x:v>
      </x:c>
      <x:c r="E675" s="14"/>
      <x:c r="F675" s="14"/>
      <x:c r="G675" s="14"/>
      <x:c r="H675" s="14"/>
      <x:c r="I675" s="14" t="n">
        <x:v>2018</x:v>
      </x:c>
      <x:c r="J675" s="14" t="str">
        <x:v>S06</x:v>
      </x:c>
      <x:c r="K675" s="14" t="str">
        <x:v>HISTORIQUE_CENI_2018_A_VALIDER</x:v>
      </x:c>
    </x:row>
    <x:row r="676">
      <x:c r="A676" s="14" t="n">
        <x:v>673</x:v>
      </x:c>
      <x:c r="B676" s="14" t="n">
        <x:v>10</x:v>
      </x:c>
      <x:c r="C676" s="14" t="str">
        <x:v>SECTEUR</x:v>
      </x:c>
      <x:c r="D676" s="14" t="str">
        <x:v>Nzobe-Luzi</x:v>
      </x:c>
      <x:c r="E676" s="14"/>
      <x:c r="F676" s="14"/>
      <x:c r="G676" s="14"/>
      <x:c r="H676" s="14"/>
      <x:c r="I676" s="14" t="n">
        <x:v>2018</x:v>
      </x:c>
      <x:c r="J676" s="14" t="str">
        <x:v>S06</x:v>
      </x:c>
      <x:c r="K676" s="14" t="str">
        <x:v>HISTORIQUE_CENI_2018_A_VALIDER</x:v>
      </x:c>
    </x:row>
    <x:row r="677">
      <x:c r="A677" s="14" t="n">
        <x:v>674</x:v>
      </x:c>
      <x:c r="B677" s="14" t="n">
        <x:v>10</x:v>
      </x:c>
      <x:c r="C677" s="14" t="str">
        <x:v>SECTEUR</x:v>
      </x:c>
      <x:c r="D677" s="14" t="str">
        <x:v>Tshela-Banga</x:v>
      </x:c>
      <x:c r="E677" s="14"/>
      <x:c r="F677" s="14"/>
      <x:c r="G677" s="14"/>
      <x:c r="H677" s="14"/>
      <x:c r="I677" s="14" t="n">
        <x:v>2018</x:v>
      </x:c>
      <x:c r="J677" s="14" t="str">
        <x:v>S06</x:v>
      </x:c>
      <x:c r="K677" s="14" t="str">
        <x:v>HISTORIQUE_CENI_2018_A_VALIDER</x:v>
      </x:c>
    </x:row>
    <x:row r="678">
      <x:c r="A678" s="14" t="n">
        <x:v>675</x:v>
      </x:c>
      <x:c r="B678" s="14" t="n">
        <x:v>143</x:v>
      </x:c>
      <x:c r="C678" s="14" t="str">
        <x:v>SECTEUR</x:v>
      </x:c>
      <x:c r="D678" s="14" t="str">
        <x:v>Bakwa-Nyambi</x:v>
      </x:c>
      <x:c r="E678" s="14"/>
      <x:c r="F678" s="14"/>
      <x:c r="G678" s="14"/>
      <x:c r="H678" s="14"/>
      <x:c r="I678" s="14" t="n">
        <x:v>2018</x:v>
      </x:c>
      <x:c r="J678" s="14" t="str">
        <x:v>S06</x:v>
      </x:c>
      <x:c r="K678" s="14" t="str">
        <x:v>HISTORIQUE_CENI_2018_A_VALIDER</x:v>
      </x:c>
    </x:row>
    <x:row r="679">
      <x:c r="A679" s="14" t="n">
        <x:v>676</x:v>
      </x:c>
      <x:c r="B679" s="14" t="n">
        <x:v>143</x:v>
      </x:c>
      <x:c r="C679" s="14" t="str">
        <x:v>SECTEUR</x:v>
      </x:c>
      <x:c r="D679" s="14" t="str">
        <x:v>Bapende</x:v>
      </x:c>
      <x:c r="E679" s="14"/>
      <x:c r="F679" s="14"/>
      <x:c r="G679" s="14"/>
      <x:c r="H679" s="14"/>
      <x:c r="I679" s="14" t="n">
        <x:v>2018</x:v>
      </x:c>
      <x:c r="J679" s="14" t="str">
        <x:v>S06</x:v>
      </x:c>
      <x:c r="K679" s="14" t="str">
        <x:v>HISTORIQUE_CENI_2018_A_VALIDER</x:v>
      </x:c>
    </x:row>
    <x:row r="680">
      <x:c r="A680" s="14" t="n">
        <x:v>677</x:v>
      </x:c>
      <x:c r="B680" s="14" t="n">
        <x:v>143</x:v>
      </x:c>
      <x:c r="C680" s="14" t="str">
        <x:v>SECTEUR</x:v>
      </x:c>
      <x:c r="D680" s="14" t="str">
        <x:v>Kasadisadi</x:v>
      </x:c>
      <x:c r="E680" s="14"/>
      <x:c r="F680" s="14"/>
      <x:c r="G680" s="14"/>
      <x:c r="H680" s="14"/>
      <x:c r="I680" s="14" t="n">
        <x:v>2018</x:v>
      </x:c>
      <x:c r="J680" s="14" t="str">
        <x:v>S06</x:v>
      </x:c>
      <x:c r="K680" s="14" t="str">
        <x:v>HISTORIQUE_CENI_2018_A_VALIDER</x:v>
      </x:c>
    </x:row>
    <x:row r="681">
      <x:c r="A681" s="14" t="n">
        <x:v>678</x:v>
      </x:c>
      <x:c r="B681" s="14" t="n">
        <x:v>143</x:v>
      </x:c>
      <x:c r="C681" s="14" t="str">
        <x:v>SECTEUR</x:v>
      </x:c>
      <x:c r="D681" s="14" t="str">
        <x:v>Kasai-Kabambaie</x:v>
      </x:c>
      <x:c r="E681" s="14"/>
      <x:c r="F681" s="14"/>
      <x:c r="G681" s="14"/>
      <x:c r="H681" s="14"/>
      <x:c r="I681" s="14" t="n">
        <x:v>2018</x:v>
      </x:c>
      <x:c r="J681" s="14" t="str">
        <x:v>S06</x:v>
      </x:c>
      <x:c r="K681" s="14" t="str">
        <x:v>HISTORIQUE_CENI_2018_A_VALIDER</x:v>
      </x:c>
    </x:row>
    <x:row r="682">
      <x:c r="A682" s="14" t="n">
        <x:v>679</x:v>
      </x:c>
      <x:c r="B682" s="14" t="n">
        <x:v>143</x:v>
      </x:c>
      <x:c r="C682" s="14" t="str">
        <x:v>SECTEUR</x:v>
      </x:c>
      <x:c r="D682" s="14" t="str">
        <x:v>Kasai-Lunyeka</x:v>
      </x:c>
      <x:c r="E682" s="14"/>
      <x:c r="F682" s="14"/>
      <x:c r="G682" s="14"/>
      <x:c r="H682" s="14"/>
      <x:c r="I682" s="14" t="n">
        <x:v>2018</x:v>
      </x:c>
      <x:c r="J682" s="14" t="str">
        <x:v>S06</x:v>
      </x:c>
      <x:c r="K682" s="14" t="str">
        <x:v>HISTORIQUE_CENI_2018_A_VALIDER</x:v>
      </x:c>
    </x:row>
    <x:row r="683">
      <x:c r="A683" s="14" t="n">
        <x:v>680</x:v>
      </x:c>
      <x:c r="B683" s="14" t="n">
        <x:v>143</x:v>
      </x:c>
      <x:c r="C683" s="14" t="str">
        <x:v>SECTEUR</x:v>
      </x:c>
      <x:c r="D683" s="14" t="str">
        <x:v>Kasai-Longatshimo</x:v>
      </x:c>
      <x:c r="E683" s="14"/>
      <x:c r="F683" s="14"/>
      <x:c r="G683" s="14"/>
      <x:c r="H683" s="14"/>
      <x:c r="I683" s="14" t="n">
        <x:v>2018</x:v>
      </x:c>
      <x:c r="J683" s="14" t="str">
        <x:v>S06</x:v>
      </x:c>
      <x:c r="K683" s="14" t="str">
        <x:v>HISTORIQUE_CENI_2018_A_VALIDER</x:v>
      </x:c>
    </x:row>
    <x:row r="684">
      <x:c r="A684" s="14" t="n">
        <x:v>681</x:v>
      </x:c>
      <x:c r="B684" s="14" t="n">
        <x:v>143</x:v>
      </x:c>
      <x:c r="C684" s="14" t="str">
        <x:v>SECTEUR</x:v>
      </x:c>
      <x:c r="D684" s="14" t="str">
        <x:v>Lovua-Longatshimo</x:v>
      </x:c>
      <x:c r="E684" s="14"/>
      <x:c r="F684" s="14"/>
      <x:c r="G684" s="14"/>
      <x:c r="H684" s="14"/>
      <x:c r="I684" s="14" t="n">
        <x:v>2018</x:v>
      </x:c>
      <x:c r="J684" s="14" t="str">
        <x:v>S06</x:v>
      </x:c>
      <x:c r="K684" s="14" t="str">
        <x:v>HISTORIQUE_CENI_2018_A_VALIDER</x:v>
      </x:c>
    </x:row>
    <x:row r="685">
      <x:c r="A685" s="14" t="n">
        <x:v>682</x:v>
      </x:c>
      <x:c r="B685" s="14" t="n">
        <x:v>143</x:v>
      </x:c>
      <x:c r="C685" s="14" t="str">
        <x:v>SECTEUR</x:v>
      </x:c>
      <x:c r="D685" s="14" t="str">
        <x:v>Lovua-Lutshiku</x:v>
      </x:c>
      <x:c r="E685" s="14"/>
      <x:c r="F685" s="14"/>
      <x:c r="G685" s="14"/>
      <x:c r="H685" s="14"/>
      <x:c r="I685" s="14" t="n">
        <x:v>2018</x:v>
      </x:c>
      <x:c r="J685" s="14" t="str">
        <x:v>S06</x:v>
      </x:c>
      <x:c r="K685" s="14" t="str">
        <x:v>HISTORIQUE_CENI_2018_A_VALIDER</x:v>
      </x:c>
    </x:row>
    <x:row r="686">
      <x:c r="A686" s="14" t="n">
        <x:v>683</x:v>
      </x:c>
      <x:c r="B686" s="14" t="n">
        <x:v>143</x:v>
      </x:c>
      <x:c r="C686" s="14" t="str">
        <x:v>SECTEUR</x:v>
      </x:c>
      <x:c r="D686" s="14" t="str">
        <x:v>Tshikapa</x:v>
      </x:c>
      <x:c r="E686" s="14"/>
      <x:c r="F686" s="14"/>
      <x:c r="G686" s="14"/>
      <x:c r="H686" s="14"/>
      <x:c r="I686" s="14" t="n">
        <x:v>2018</x:v>
      </x:c>
      <x:c r="J686" s="14" t="str">
        <x:v>S06</x:v>
      </x:c>
      <x:c r="K686" s="14" t="str">
        <x:v>HISTORIQUE_CENI_2018_A_VALIDER</x:v>
      </x:c>
    </x:row>
    <x:row r="687">
      <x:c r="A687" s="14" t="n">
        <x:v>684</x:v>
      </x:c>
      <x:c r="B687" s="14" t="n">
        <x:v>129</x:v>
      </x:c>
      <x:c r="C687" s="14" t="str">
        <x:v>SECTEUR</x:v>
      </x:c>
      <x:c r="D687" s="14" t="str">
        <x:v>Kalelu</x:v>
      </x:c>
      <x:c r="E687" s="14"/>
      <x:c r="F687" s="14"/>
      <x:c r="G687" s="14"/>
      <x:c r="H687" s="14"/>
      <x:c r="I687" s="14" t="n">
        <x:v>2018</x:v>
      </x:c>
      <x:c r="J687" s="14" t="str">
        <x:v>S06</x:v>
      </x:c>
      <x:c r="K687" s="14" t="str">
        <x:v>HISTORIQUE_CENI_2018_A_VALIDER</x:v>
      </x:c>
    </x:row>
    <x:row r="688">
      <x:c r="A688" s="14" t="n">
        <x:v>685</x:v>
      </x:c>
      <x:c r="B688" s="14" t="n">
        <x:v>129</x:v>
      </x:c>
      <x:c r="C688" s="14" t="str">
        <x:v>SECTEUR</x:v>
      </x:c>
      <x:c r="D688" s="14" t="str">
        <x:v>Kalondji-Sud</x:v>
      </x:c>
      <x:c r="E688" s="14"/>
      <x:c r="F688" s="14"/>
      <x:c r="G688" s="14"/>
      <x:c r="H688" s="14"/>
      <x:c r="I688" s="14" t="n">
        <x:v>2018</x:v>
      </x:c>
      <x:c r="J688" s="14" t="str">
        <x:v>S06</x:v>
      </x:c>
      <x:c r="K688" s="14" t="str">
        <x:v>HISTORIQUE_CENI_2018_A_VALIDER</x:v>
      </x:c>
    </x:row>
    <x:row r="689">
      <x:c r="A689" s="14" t="n">
        <x:v>686</x:v>
      </x:c>
      <x:c r="B689" s="14" t="n">
        <x:v>129</x:v>
      </x:c>
      <x:c r="C689" s="14" t="str">
        <x:v>CHEFFERIE</x:v>
      </x:c>
      <x:c r="D689" s="14" t="str">
        <x:v>Kampatshi</x:v>
      </x:c>
      <x:c r="E689" s="14"/>
      <x:c r="F689" s="14"/>
      <x:c r="G689" s="14"/>
      <x:c r="H689" s="14"/>
      <x:c r="I689" s="14" t="n">
        <x:v>2018</x:v>
      </x:c>
      <x:c r="J689" s="14" t="str">
        <x:v>S06</x:v>
      </x:c>
      <x:c r="K689" s="14" t="str">
        <x:v>HISTORIQUE_CENI_2018_A_VALIDER</x:v>
      </x:c>
    </x:row>
    <x:row r="690">
      <x:c r="A690" s="14" t="n">
        <x:v>687</x:v>
      </x:c>
      <x:c r="B690" s="14" t="n">
        <x:v>129</x:v>
      </x:c>
      <x:c r="C690" s="14" t="str">
        <x:v>SECTEUR</x:v>
      </x:c>
      <x:c r="D690" s="14" t="str">
        <x:v>Lukalaba</x:v>
      </x:c>
      <x:c r="E690" s="14"/>
      <x:c r="F690" s="14"/>
      <x:c r="G690" s="14"/>
      <x:c r="H690" s="14"/>
      <x:c r="I690" s="14" t="n">
        <x:v>2018</x:v>
      </x:c>
      <x:c r="J690" s="14" t="str">
        <x:v>S06</x:v>
      </x:c>
      <x:c r="K690" s="14" t="str">
        <x:v>HISTORIQUE_CENI_2018_A_VALIDER</x:v>
      </x:c>
    </x:row>
    <x:row r="691">
      <x:c r="A691" s="14" t="n">
        <x:v>688</x:v>
      </x:c>
      <x:c r="B691" s="14" t="n">
        <x:v>129</x:v>
      </x:c>
      <x:c r="C691" s="14" t="str">
        <x:v>SECTEUR</x:v>
      </x:c>
      <x:c r="D691" s="14" t="str">
        <x:v>Tshipuka</x:v>
      </x:c>
      <x:c r="E691" s="14"/>
      <x:c r="F691" s="14"/>
      <x:c r="G691" s="14"/>
      <x:c r="H691" s="14"/>
      <x:c r="I691" s="14" t="n">
        <x:v>2018</x:v>
      </x:c>
      <x:c r="J691" s="14" t="str">
        <x:v>S06</x:v>
      </x:c>
      <x:c r="K691" s="14" t="str">
        <x:v>HISTORIQUE_CENI_2018_A_VALIDER</x:v>
      </x:c>
    </x:row>
    <x:row r="692">
      <x:c r="A692" s="14" t="n">
        <x:v>689</x:v>
      </x:c>
      <x:c r="B692" s="14" t="n">
        <x:v>58</x:v>
      </x:c>
      <x:c r="C692" s="14" t="str">
        <x:v>SECTEUR</x:v>
      </x:c>
      <x:c r="D692" s="14" t="str">
        <x:v>Bakumu-Kilinga</x:v>
      </x:c>
      <x:c r="E692" s="14"/>
      <x:c r="F692" s="14"/>
      <x:c r="G692" s="14"/>
      <x:c r="H692" s="14"/>
      <x:c r="I692" s="14" t="n">
        <x:v>2018</x:v>
      </x:c>
      <x:c r="J692" s="14" t="str">
        <x:v>S06</x:v>
      </x:c>
      <x:c r="K692" s="14" t="str">
        <x:v>HISTORIQUE_CENI_2018_A_VALIDER</x:v>
      </x:c>
    </x:row>
    <x:row r="693">
      <x:c r="A693" s="14" t="n">
        <x:v>690</x:v>
      </x:c>
      <x:c r="B693" s="14" t="n">
        <x:v>58</x:v>
      </x:c>
      <x:c r="C693" s="14" t="str">
        <x:v>SECTEUR</x:v>
      </x:c>
      <x:c r="D693" s="14" t="str">
        <x:v>Bakumu-Mandombe</x:v>
      </x:c>
      <x:c r="E693" s="14"/>
      <x:c r="F693" s="14"/>
      <x:c r="G693" s="14"/>
      <x:c r="H693" s="14"/>
      <x:c r="I693" s="14" t="n">
        <x:v>2018</x:v>
      </x:c>
      <x:c r="J693" s="14" t="str">
        <x:v>S06</x:v>
      </x:c>
      <x:c r="K693" s="14" t="str">
        <x:v>HISTORIQUE_CENI_2018_A_VALIDER</x:v>
      </x:c>
    </x:row>
    <x:row r="694">
      <x:c r="A694" s="14" t="n">
        <x:v>691</x:v>
      </x:c>
      <x:c r="B694" s="14" t="n">
        <x:v>58</x:v>
      </x:c>
      <x:c r="C694" s="14" t="str">
        <x:v>SECTEUR</x:v>
      </x:c>
      <x:c r="D694" s="14" t="str">
        <x:v>Bakumu-Mangongo</x:v>
      </x:c>
      <x:c r="E694" s="14"/>
      <x:c r="F694" s="14"/>
      <x:c r="G694" s="14"/>
      <x:c r="H694" s="14"/>
      <x:c r="I694" s="14" t="n">
        <x:v>2018</x:v>
      </x:c>
      <x:c r="J694" s="14" t="str">
        <x:v>S06</x:v>
      </x:c>
      <x:c r="K694" s="14" t="str">
        <x:v>HISTORIQUE_CENI_2018_A_VALIDER</x:v>
      </x:c>
    </x:row>
    <x:row r="695">
      <x:c r="A695" s="14" t="n">
        <x:v>692</x:v>
      </x:c>
      <x:c r="B695" s="14" t="n">
        <x:v>58</x:v>
      </x:c>
      <x:c r="C695" s="14" t="str">
        <x:v>SECTEUR</x:v>
      </x:c>
      <x:c r="D695" s="14" t="str">
        <x:v>Bakumu-d'Obiatuku</x:v>
      </x:c>
      <x:c r="E695" s="14"/>
      <x:c r="F695" s="14"/>
      <x:c r="G695" s="14"/>
      <x:c r="H695" s="14"/>
      <x:c r="I695" s="14" t="n">
        <x:v>2018</x:v>
      </x:c>
      <x:c r="J695" s="14" t="str">
        <x:v>S06</x:v>
      </x:c>
      <x:c r="K695" s="14" t="str">
        <x:v>HISTORIQUE_CENI_2018_A_VALIDER</x:v>
      </x:c>
    </x:row>
    <x:row r="696">
      <x:c r="A696" s="14" t="n">
        <x:v>693</x:v>
      </x:c>
      <x:c r="B696" s="14" t="n">
        <x:v>58</x:v>
      </x:c>
      <x:c r="C696" s="14" t="str">
        <x:v>CHEFFERIE</x:v>
      </x:c>
      <x:c r="D696" s="14" t="str">
        <x:v>Kirundu</x:v>
      </x:c>
      <x:c r="E696" s="14"/>
      <x:c r="F696" s="14"/>
      <x:c r="G696" s="14"/>
      <x:c r="H696" s="14"/>
      <x:c r="I696" s="14" t="n">
        <x:v>2018</x:v>
      </x:c>
      <x:c r="J696" s="14" t="str">
        <x:v>S06</x:v>
      </x:c>
      <x:c r="K696" s="14" t="str">
        <x:v>HISTORIQUE_CENI_2018_A_VALIDER</x:v>
      </x:c>
    </x:row>
    <x:row r="697">
      <x:c r="A697" s="14" t="n">
        <x:v>694</x:v>
      </x:c>
      <x:c r="B697" s="14" t="n">
        <x:v>58</x:v>
      </x:c>
      <x:c r="C697" s="14" t="str">
        <x:v>SECTEUR</x:v>
      </x:c>
      <x:c r="D697" s="14" t="str">
        <x:v>Mituku-Bamoya</x:v>
      </x:c>
      <x:c r="E697" s="14"/>
      <x:c r="F697" s="14"/>
      <x:c r="G697" s="14"/>
      <x:c r="H697" s="14"/>
      <x:c r="I697" s="14" t="n">
        <x:v>2018</x:v>
      </x:c>
      <x:c r="J697" s="14" t="str">
        <x:v>S06</x:v>
      </x:c>
      <x:c r="K697" s="14" t="str">
        <x:v>HISTORIQUE_CENI_2018_A_VALIDER</x:v>
      </x:c>
    </x:row>
    <x:row r="698">
      <x:c r="A698" s="14" t="n">
        <x:v>695</x:v>
      </x:c>
      <x:c r="B698" s="14" t="n">
        <x:v>58</x:v>
      </x:c>
      <x:c r="C698" s="14" t="str">
        <x:v>SECTEUR</x:v>
      </x:c>
      <x:c r="D698" s="14" t="str">
        <x:v>Mituku-Basikate</x:v>
      </x:c>
      <x:c r="E698" s="14"/>
      <x:c r="F698" s="14"/>
      <x:c r="G698" s="14"/>
      <x:c r="H698" s="14"/>
      <x:c r="I698" s="14" t="n">
        <x:v>2018</x:v>
      </x:c>
      <x:c r="J698" s="14" t="str">
        <x:v>S06</x:v>
      </x:c>
      <x:c r="K698" s="14" t="str">
        <x:v>HISTORIQUE_CENI_2018_A_VALIDER</x:v>
      </x:c>
    </x:row>
    <x:row r="699">
      <x:c r="A699" s="14" t="n">
        <x:v>696</x:v>
      </x:c>
      <x:c r="B699" s="14" t="n">
        <x:v>58</x:v>
      </x:c>
      <x:c r="C699" s="14" t="str">
        <x:v>SECTEUR</x:v>
      </x:c>
      <x:c r="D699" s="14" t="str">
        <x:v>Walengola-Babira</x:v>
      </x:c>
      <x:c r="E699" s="14"/>
      <x:c r="F699" s="14"/>
      <x:c r="G699" s="14"/>
      <x:c r="H699" s="14"/>
      <x:c r="I699" s="14" t="n">
        <x:v>2018</x:v>
      </x:c>
      <x:c r="J699" s="14" t="str">
        <x:v>S06</x:v>
      </x:c>
      <x:c r="K699" s="14" t="str">
        <x:v>HISTORIQUE_CENI_2018_A_VALIDER</x:v>
      </x:c>
    </x:row>
    <x:row r="700">
      <x:c r="A700" s="14" t="n">
        <x:v>697</x:v>
      </x:c>
      <x:c r="B700" s="14" t="n">
        <x:v>58</x:v>
      </x:c>
      <x:c r="C700" s="14" t="str">
        <x:v>SECTEUR</x:v>
      </x:c>
      <x:c r="D700" s="14" t="str">
        <x:v>Walengola-Baleka</x:v>
      </x:c>
      <x:c r="E700" s="14"/>
      <x:c r="F700" s="14"/>
      <x:c r="G700" s="14"/>
      <x:c r="H700" s="14"/>
      <x:c r="I700" s="14" t="n">
        <x:v>2018</x:v>
      </x:c>
      <x:c r="J700" s="14" t="str">
        <x:v>S06</x:v>
      </x:c>
      <x:c r="K700" s="14" t="str">
        <x:v>HISTORIQUE_CENI_2018_A_VALIDER</x:v>
      </x:c>
    </x:row>
    <x:row r="701">
      <x:c r="A701" s="14" t="n">
        <x:v>698</x:v>
      </x:c>
      <x:c r="B701" s="14" t="n">
        <x:v>58</x:v>
      </x:c>
      <x:c r="C701" s="14" t="str">
        <x:v>SECTEUR</x:v>
      </x:c>
      <x:c r="D701" s="14" t="str">
        <x:v>Walengola Lilo</x:v>
      </x:c>
      <x:c r="E701" s="14"/>
      <x:c r="F701" s="14"/>
      <x:c r="G701" s="14"/>
      <x:c r="H701" s="14"/>
      <x:c r="I701" s="14" t="n">
        <x:v>2018</x:v>
      </x:c>
      <x:c r="J701" s="14" t="str">
        <x:v>S06</x:v>
      </x:c>
      <x:c r="K701" s="14" t="str">
        <x:v>HISTORIQUE_CENI_2018_A_VALIDER</x:v>
      </x:c>
    </x:row>
    <x:row r="702">
      <x:c r="A702" s="14" t="n">
        <x:v>699</x:v>
      </x:c>
      <x:c r="B702" s="14" t="n">
        <x:v>58</x:v>
      </x:c>
      <x:c r="C702" s="14" t="str">
        <x:v>SECTEUR</x:v>
      </x:c>
      <x:c r="D702" s="14" t="str">
        <x:v>Walengola Lowa</x:v>
      </x:c>
      <x:c r="E702" s="14"/>
      <x:c r="F702" s="14"/>
      <x:c r="G702" s="14"/>
      <x:c r="H702" s="14"/>
      <x:c r="I702" s="14" t="n">
        <x:v>2018</x:v>
      </x:c>
      <x:c r="J702" s="14" t="str">
        <x:v>S06</x:v>
      </x:c>
      <x:c r="K702" s="14" t="str">
        <x:v>HISTORIQUE_CENI_2018_A_VALIDER</x:v>
      </x:c>
    </x:row>
    <x:row r="703">
      <x:c r="A703" s="14" t="n">
        <x:v>700</x:v>
      </x:c>
      <x:c r="B703" s="14" t="n">
        <x:v>89</x:v>
      </x:c>
      <x:c r="C703" s="14" t="str">
        <x:v>CHEFFERIE</x:v>
      </x:c>
      <x:c r="D703" s="14" t="str">
        <x:v>Bafuliiru</x:v>
      </x:c>
      <x:c r="E703" s="14"/>
      <x:c r="F703" s="14"/>
      <x:c r="G703" s="14"/>
      <x:c r="H703" s="14"/>
      <x:c r="I703" s="14" t="n">
        <x:v>2018</x:v>
      </x:c>
      <x:c r="J703" s="14" t="str">
        <x:v>S06</x:v>
      </x:c>
      <x:c r="K703" s="14" t="str">
        <x:v>HISTORIQUE_CENI_2018_A_VALIDER</x:v>
      </x:c>
    </x:row>
    <x:row r="704">
      <x:c r="A704" s="14" t="n">
        <x:v>701</x:v>
      </x:c>
      <x:c r="B704" s="14" t="n">
        <x:v>89</x:v>
      </x:c>
      <x:c r="C704" s="14" t="str">
        <x:v>CHEFFERIE</x:v>
      </x:c>
      <x:c r="D704" s="14" t="str">
        <x:v>Bavira</x:v>
      </x:c>
      <x:c r="E704" s="14"/>
      <x:c r="F704" s="14"/>
      <x:c r="G704" s="14"/>
      <x:c r="H704" s="14"/>
      <x:c r="I704" s="14" t="n">
        <x:v>2018</x:v>
      </x:c>
      <x:c r="J704" s="14" t="str">
        <x:v>S06</x:v>
      </x:c>
      <x:c r="K704" s="14" t="str">
        <x:v>HISTORIQUE_CENI_2018_A_VALIDER</x:v>
      </x:c>
    </x:row>
    <x:row r="705">
      <x:c r="A705" s="14" t="n">
        <x:v>702</x:v>
      </x:c>
      <x:c r="B705" s="14" t="n">
        <x:v>89</x:v>
      </x:c>
      <x:c r="C705" s="14" t="str">
        <x:v>CHEFFERIE</x:v>
      </x:c>
      <x:c r="D705" s="14" t="str">
        <x:v>Plaine de la Ruzizi</x:v>
      </x:c>
      <x:c r="E705" s="14"/>
      <x:c r="F705" s="14"/>
      <x:c r="G705" s="14"/>
      <x:c r="H705" s="14"/>
      <x:c r="I705" s="14" t="n">
        <x:v>2018</x:v>
      </x:c>
      <x:c r="J705" s="14" t="str">
        <x:v>S06</x:v>
      </x:c>
      <x:c r="K705" s="14" t="str">
        <x:v>HISTORIQUE_CENI_2018_A_VALIDER</x:v>
      </x:c>
    </x:row>
    <x:row r="706">
      <x:c r="A706" s="14" t="n">
        <x:v>703</x:v>
      </x:c>
      <x:c r="B706" s="14" t="n">
        <x:v>82</x:v>
      </x:c>
      <x:c r="C706" s="14" t="str">
        <x:v>SECTEUR</x:v>
      </x:c>
      <x:c r="D706" s="14" t="str">
        <x:v>Wanianga</x:v>
      </x:c>
      <x:c r="E706" s="14"/>
      <x:c r="F706" s="14"/>
      <x:c r="G706" s="14"/>
      <x:c r="H706" s="14"/>
      <x:c r="I706" s="14" t="n">
        <x:v>2018</x:v>
      </x:c>
      <x:c r="J706" s="14" t="str">
        <x:v>S06</x:v>
      </x:c>
      <x:c r="K706" s="14" t="str">
        <x:v>HISTORIQUE_CENI_2018_A_VALIDER</x:v>
      </x:c>
    </x:row>
    <x:row r="707">
      <x:c r="A707" s="14" t="n">
        <x:v>704</x:v>
      </x:c>
      <x:c r="B707" s="14" t="n">
        <x:v>82</x:v>
      </x:c>
      <x:c r="C707" s="14" t="str">
        <x:v>SECTEUR</x:v>
      </x:c>
      <x:c r="D707" s="14" t="str">
        <x:v>Bakano</x:v>
      </x:c>
      <x:c r="E707" s="14"/>
      <x:c r="F707" s="14"/>
      <x:c r="G707" s="14"/>
      <x:c r="H707" s="14"/>
      <x:c r="I707" s="14" t="n">
        <x:v>2018</x:v>
      </x:c>
      <x:c r="J707" s="14" t="str">
        <x:v>S06</x:v>
      </x:c>
      <x:c r="K707" s="14" t="str">
        <x:v>HISTORIQUE_CENI_2018_A_VALIDER</x:v>
      </x:c>
    </x:row>
    <x:row r="708">
      <x:c r="A708" s="14" t="n">
        <x:v>705</x:v>
      </x:c>
      <x:c r="B708" s="14" t="n">
        <x:v>90</x:v>
      </x:c>
      <x:c r="C708" s="14" t="str">
        <x:v>CHEFFERIE</x:v>
      </x:c>
      <x:c r="D708" s="14" t="str">
        <x:v>Kaziba</x:v>
      </x:c>
      <x:c r="E708" s="14"/>
      <x:c r="F708" s="14"/>
      <x:c r="G708" s="14"/>
      <x:c r="H708" s="14"/>
      <x:c r="I708" s="14" t="n">
        <x:v>2018</x:v>
      </x:c>
      <x:c r="J708" s="14" t="str">
        <x:v>S06</x:v>
      </x:c>
      <x:c r="K708" s="14" t="str">
        <x:v>HISTORIQUE_CENI_2018_A_VALIDER</x:v>
      </x:c>
    </x:row>
    <x:row r="709">
      <x:c r="A709" s="14" t="n">
        <x:v>706</x:v>
      </x:c>
      <x:c r="B709" s="14" t="n">
        <x:v>90</x:v>
      </x:c>
      <x:c r="C709" s="14" t="str">
        <x:v>CHEFFERIE</x:v>
      </x:c>
      <x:c r="D709" s="14" t="str">
        <x:v>Ngweshe</x:v>
      </x:c>
      <x:c r="E709" s="14"/>
      <x:c r="F709" s="14"/>
      <x:c r="G709" s="14"/>
      <x:c r="H709" s="14"/>
      <x:c r="I709" s="14" t="n">
        <x:v>2018</x:v>
      </x:c>
      <x:c r="J709" s="14" t="str">
        <x:v>S06</x:v>
      </x:c>
      <x:c r="K709" s="14" t="str">
        <x:v>HISTORIQUE_CENI_2018_A_VALIDER</x:v>
      </x:c>
    </x:row>
    <x:row r="710">
      <x:c r="A710" s="14" t="n">
        <x:v>707</x:v>
      </x:c>
      <x:c r="B710" s="14" t="n">
        <x:v>70</x:v>
      </x:c>
      <x:c r="C710" s="14" t="str">
        <x:v>CHEFFERIE</x:v>
      </x:c>
      <x:c r="D710" s="14" t="str">
        <x:v>Mabudu-Malika-Baberu</x:v>
      </x:c>
      <x:c r="E710" s="14"/>
      <x:c r="F710" s="14"/>
      <x:c r="G710" s="14"/>
      <x:c r="H710" s="14"/>
      <x:c r="I710" s="14" t="n">
        <x:v>2018</x:v>
      </x:c>
      <x:c r="J710" s="14" t="str">
        <x:v>S06</x:v>
      </x:c>
      <x:c r="K710" s="14" t="str">
        <x:v>HISTORIQUE_CENI_2018_A_VALIDER</x:v>
      </x:c>
    </x:row>
    <x:row r="711">
      <x:c r="A711" s="14" t="n">
        <x:v>708</x:v>
      </x:c>
      <x:c r="B711" s="14" t="n">
        <x:v>70</x:v>
      </x:c>
      <x:c r="C711" s="14" t="str">
        <x:v>CHEFFERIE</x:v>
      </x:c>
      <x:c r="D711" s="14" t="str">
        <x:v>Bafwakoy</x:v>
      </x:c>
      <x:c r="E711" s="14"/>
      <x:c r="F711" s="14"/>
      <x:c r="G711" s="14"/>
      <x:c r="H711" s="14"/>
      <x:c r="I711" s="14" t="n">
        <x:v>2018</x:v>
      </x:c>
      <x:c r="J711" s="14" t="str">
        <x:v>S06</x:v>
      </x:c>
      <x:c r="K711" s="14" t="str">
        <x:v>HISTORIQUE_CENI_2018_A_VALIDER</x:v>
      </x:c>
    </x:row>
    <x:row r="712">
      <x:c r="A712" s="14" t="n">
        <x:v>709</x:v>
      </x:c>
      <x:c r="B712" s="14" t="n">
        <x:v>70</x:v>
      </x:c>
      <x:c r="C712" s="14" t="str">
        <x:v>CHEFFERIE</x:v>
      </x:c>
      <x:c r="D712" s="14" t="str">
        <x:v>Balika-Toriko</x:v>
      </x:c>
      <x:c r="E712" s="14"/>
      <x:c r="F712" s="14"/>
      <x:c r="G712" s="14"/>
      <x:c r="H712" s="14"/>
      <x:c r="I712" s="14" t="n">
        <x:v>2018</x:v>
      </x:c>
      <x:c r="J712" s="14" t="str">
        <x:v>S06</x:v>
      </x:c>
      <x:c r="K712" s="14" t="str">
        <x:v>HISTORIQUE_CENI_2018_A_VALIDER</x:v>
      </x:c>
    </x:row>
    <x:row r="713">
      <x:c r="A713" s="14" t="n">
        <x:v>710</x:v>
      </x:c>
      <x:c r="B713" s="14" t="n">
        <x:v>70</x:v>
      </x:c>
      <x:c r="C713" s="14" t="str">
        <x:v>CHEFFERIE</x:v>
      </x:c>
      <x:c r="D713" s="14" t="str">
        <x:v>Malika</x:v>
      </x:c>
      <x:c r="E713" s="14"/>
      <x:c r="F713" s="14"/>
      <x:c r="G713" s="14"/>
      <x:c r="H713" s="14"/>
      <x:c r="I713" s="14" t="n">
        <x:v>2018</x:v>
      </x:c>
      <x:c r="J713" s="14" t="str">
        <x:v>S06</x:v>
      </x:c>
      <x:c r="K713" s="14" t="str">
        <x:v>HISTORIQUE_CENI_2018_A_VALIDER</x:v>
      </x:c>
    </x:row>
    <x:row r="714">
      <x:c r="A714" s="14" t="n">
        <x:v>711</x:v>
      </x:c>
      <x:c r="B714" s="14" t="n">
        <x:v>70</x:v>
      </x:c>
      <x:c r="C714" s="14" t="str">
        <x:v>CHEFFERIE</x:v>
      </x:c>
      <x:c r="D714" s="14" t="str">
        <x:v>Bafwagada</x:v>
      </x:c>
      <x:c r="E714" s="14"/>
      <x:c r="F714" s="14"/>
      <x:c r="G714" s="14"/>
      <x:c r="H714" s="14"/>
      <x:c r="I714" s="14" t="n">
        <x:v>2018</x:v>
      </x:c>
      <x:c r="J714" s="14" t="str">
        <x:v>S06</x:v>
      </x:c>
      <x:c r="K714" s="14" t="str">
        <x:v>HISTORIQUE_CENI_2018_A_VALIDER</x:v>
      </x:c>
    </x:row>
    <x:row r="715">
      <x:c r="A715" s="14" t="n">
        <x:v>712</x:v>
      </x:c>
      <x:c r="B715" s="14" t="n">
        <x:v>70</x:v>
      </x:c>
      <x:c r="C715" s="14" t="str">
        <x:v>CHEFFERIE</x:v>
      </x:c>
      <x:c r="D715" s="14" t="str">
        <x:v>Wadimbisa-Mabudu</x:v>
      </x:c>
      <x:c r="E715" s="14"/>
      <x:c r="F715" s="14"/>
      <x:c r="G715" s="14"/>
      <x:c r="H715" s="14"/>
      <x:c r="I715" s="14" t="n">
        <x:v>2018</x:v>
      </x:c>
      <x:c r="J715" s="14" t="str">
        <x:v>S06</x:v>
      </x:c>
      <x:c r="K715" s="14" t="str">
        <x:v>HISTORIQUE_CENI_2018_A_VALIDER</x:v>
      </x:c>
    </x:row>
    <x:row r="716">
      <x:c r="A716" s="14" t="n">
        <x:v>713</x:v>
      </x:c>
      <x:c r="B716" s="14" t="n">
        <x:v>70</x:v>
      </x:c>
      <x:c r="C716" s="14" t="str">
        <x:v>CHEFFERIE</x:v>
      </x:c>
      <x:c r="D716" s="14" t="str">
        <x:v>Timoniko</x:v>
      </x:c>
      <x:c r="E716" s="14"/>
      <x:c r="F716" s="14"/>
      <x:c r="G716" s="14"/>
      <x:c r="H716" s="14"/>
      <x:c r="I716" s="14" t="n">
        <x:v>2018</x:v>
      </x:c>
      <x:c r="J716" s="14" t="str">
        <x:v>S06</x:v>
      </x:c>
      <x:c r="K716" s="14" t="str">
        <x:v>HISTORIQUE_CENI_2018_A_VALIDER</x:v>
      </x:c>
    </x:row>
    <x:row r="717">
      <x:c r="A717" s="14" t="n">
        <x:v>714</x:v>
      </x:c>
      <x:c r="B717" s="14" t="n">
        <x:v>70</x:v>
      </x:c>
      <x:c r="C717" s="14" t="str">
        <x:v>CHEFFERIE</x:v>
      </x:c>
      <x:c r="D717" s="14" t="str">
        <x:v>Makoda</x:v>
      </x:c>
      <x:c r="E717" s="14"/>
      <x:c r="F717" s="14"/>
      <x:c r="G717" s="14"/>
      <x:c r="H717" s="14"/>
      <x:c r="I717" s="14" t="n">
        <x:v>2018</x:v>
      </x:c>
      <x:c r="J717" s="14" t="str">
        <x:v>S06</x:v>
      </x:c>
      <x:c r="K717" s="14" t="str">
        <x:v>HISTORIQUE_CENI_2018_A_VALIDER</x:v>
      </x:c>
    </x:row>
    <x:row r="718">
      <x:c r="A718" s="14" t="n">
        <x:v>715</x:v>
      </x:c>
      <x:c r="B718" s="14" t="n">
        <x:v>70</x:v>
      </x:c>
      <x:c r="C718" s="14" t="str">
        <x:v>CHEFFERIE</x:v>
      </x:c>
      <x:c r="D718" s="14" t="str">
        <x:v>Mangbele</x:v>
      </x:c>
      <x:c r="E718" s="14"/>
      <x:c r="F718" s="14"/>
      <x:c r="G718" s="14"/>
      <x:c r="H718" s="14"/>
      <x:c r="I718" s="14" t="n">
        <x:v>2018</x:v>
      </x:c>
      <x:c r="J718" s="14" t="str">
        <x:v>S06</x:v>
      </x:c>
      <x:c r="K718" s="14" t="str">
        <x:v>HISTORIQUE_CENI_2018_A_VALIDER</x:v>
      </x:c>
    </x:row>
    <x:row r="719">
      <x:c r="A719" s="14" t="n">
        <x:v>716</x:v>
      </x:c>
      <x:c r="B719" s="14" t="n">
        <x:v>70</x:v>
      </x:c>
      <x:c r="C719" s="14" t="str">
        <x:v>CHEFFERIE</x:v>
      </x:c>
      <x:c r="D719" s="14" t="str">
        <x:v>Malamba</x:v>
      </x:c>
      <x:c r="E719" s="14"/>
      <x:c r="F719" s="14"/>
      <x:c r="G719" s="14"/>
      <x:c r="H719" s="14"/>
      <x:c r="I719" s="14" t="n">
        <x:v>2018</x:v>
      </x:c>
      <x:c r="J719" s="14" t="str">
        <x:v>S06</x:v>
      </x:c>
      <x:c r="K719" s="14" t="str">
        <x:v>HISTORIQUE_CENI_2018_A_VALIDER</x:v>
      </x:c>
    </x:row>
    <x:row r="720">
      <x:c r="A720" s="14" t="n">
        <x:v>717</x:v>
      </x:c>
      <x:c r="B720" s="14" t="n">
        <x:v>70</x:v>
      </x:c>
      <x:c r="C720" s="14" t="str">
        <x:v>CHEFFERIE</x:v>
      </x:c>
      <x:c r="D720" s="14" t="str">
        <x:v>Maha</x:v>
      </x:c>
      <x:c r="E720" s="14"/>
      <x:c r="F720" s="14"/>
      <x:c r="G720" s="14"/>
      <x:c r="H720" s="14"/>
      <x:c r="I720" s="14" t="n">
        <x:v>2018</x:v>
      </x:c>
      <x:c r="J720" s="14" t="str">
        <x:v>S06</x:v>
      </x:c>
      <x:c r="K720" s="14" t="str">
        <x:v>HISTORIQUE_CENI_2018_A_VALIDER</x:v>
      </x:c>
    </x:row>
    <x:row r="721">
      <x:c r="A721" s="14" t="n">
        <x:v>718</x:v>
      </x:c>
      <x:c r="B721" s="14" t="n">
        <x:v>71</x:v>
      </x:c>
      <x:c r="C721" s="14" t="str">
        <x:v>CHEFFERIE</x:v>
      </x:c>
      <x:c r="D721" s="14" t="str">
        <x:v>Andobi</x:v>
      </x:c>
      <x:c r="E721" s="14"/>
      <x:c r="F721" s="14"/>
      <x:c r="G721" s="14"/>
      <x:c r="H721" s="14"/>
      <x:c r="I721" s="14" t="n">
        <x:v>2018</x:v>
      </x:c>
      <x:c r="J721" s="14" t="str">
        <x:v>S06</x:v>
      </x:c>
      <x:c r="K721" s="14" t="str">
        <x:v>HISTORIQUE_CENI_2018_A_VALIDER</x:v>
      </x:c>
    </x:row>
    <x:row r="722">
      <x:c r="A722" s="14" t="n">
        <x:v>719</x:v>
      </x:c>
      <x:c r="B722" s="14" t="n">
        <x:v>71</x:v>
      </x:c>
      <x:c r="C722" s="14" t="str">
        <x:v>CHEFFERIE</x:v>
      </x:c>
      <x:c r="D722" s="14" t="str">
        <x:v>Kebo</x:v>
      </x:c>
      <x:c r="E722" s="14"/>
      <x:c r="F722" s="14"/>
      <x:c r="G722" s="14"/>
      <x:c r="H722" s="14"/>
      <x:c r="I722" s="14" t="n">
        <x:v>2018</x:v>
      </x:c>
      <x:c r="J722" s="14" t="str">
        <x:v>S06</x:v>
      </x:c>
      <x:c r="K722" s="14" t="str">
        <x:v>HISTORIQUE_CENI_2018_A_VALIDER</x:v>
      </x:c>
    </x:row>
    <x:row r="723">
      <x:c r="A723" s="14" t="n">
        <x:v>720</x:v>
      </x:c>
      <x:c r="B723" s="14" t="n">
        <x:v>71</x:v>
      </x:c>
      <x:c r="C723" s="14" t="str">
        <x:v>CHEFFERIE</x:v>
      </x:c>
      <x:c r="D723" s="14" t="str">
        <x:v>Ateru</x:v>
      </x:c>
      <x:c r="E723" s="14"/>
      <x:c r="F723" s="14"/>
      <x:c r="G723" s="14"/>
      <x:c r="H723" s="14"/>
      <x:c r="I723" s="14" t="n">
        <x:v>2018</x:v>
      </x:c>
      <x:c r="J723" s="14" t="str">
        <x:v>S06</x:v>
      </x:c>
      <x:c r="K723" s="14" t="str">
        <x:v>HISTORIQUE_CENI_2018_A_VALIDER</x:v>
      </x:c>
    </x:row>
    <x:row r="724">
      <x:c r="A724" s="14" t="n">
        <x:v>721</x:v>
      </x:c>
      <x:c r="B724" s="14" t="n">
        <x:v>71</x:v>
      </x:c>
      <x:c r="C724" s="14" t="str">
        <x:v>CHEFFERIE</x:v>
      </x:c>
      <x:c r="D724" s="14" t="str">
        <x:v>Andikofa</x:v>
      </x:c>
      <x:c r="E724" s="14"/>
      <x:c r="F724" s="14"/>
      <x:c r="G724" s="14"/>
      <x:c r="H724" s="14"/>
      <x:c r="I724" s="14" t="n">
        <x:v>2018</x:v>
      </x:c>
      <x:c r="J724" s="14" t="str">
        <x:v>S06</x:v>
      </x:c>
      <x:c r="K724" s="14" t="str">
        <x:v>HISTORIQUE_CENI_2018_A_VALIDER</x:v>
      </x:c>
    </x:row>
    <x:row r="725">
      <x:c r="A725" s="14" t="n">
        <x:v>722</x:v>
      </x:c>
      <x:c r="B725" s="14" t="n">
        <x:v>71</x:v>
      </x:c>
      <x:c r="C725" s="14" t="str">
        <x:v>SECTEUR</x:v>
      </x:c>
      <x:c r="D725" s="14" t="str">
        <x:v>Gombari</x:v>
      </x:c>
      <x:c r="E725" s="14"/>
      <x:c r="F725" s="14"/>
      <x:c r="G725" s="14"/>
      <x:c r="H725" s="14"/>
      <x:c r="I725" s="14" t="n">
        <x:v>2018</x:v>
      </x:c>
      <x:c r="J725" s="14" t="str">
        <x:v>S06</x:v>
      </x:c>
      <x:c r="K725" s="14" t="str">
        <x:v>HISTORIQUE_CENI_2018_A_VALIDER</x:v>
      </x:c>
    </x:row>
    <x:row r="726">
      <x:c r="A726" s="14" t="n">
        <x:v>723</x:v>
      </x:c>
      <x:c r="B726" s="14" t="n">
        <x:v>71</x:v>
      </x:c>
      <x:c r="C726" s="14" t="str">
        <x:v>CHEFFERIE</x:v>
      </x:c>
      <x:c r="D726" s="14" t="str">
        <x:v>Mari-Minza</x:v>
      </x:c>
      <x:c r="E726" s="14"/>
      <x:c r="F726" s="14"/>
      <x:c r="G726" s="14"/>
      <x:c r="H726" s="14"/>
      <x:c r="I726" s="14" t="n">
        <x:v>2018</x:v>
      </x:c>
      <x:c r="J726" s="14" t="str">
        <x:v>S06</x:v>
      </x:c>
      <x:c r="K726" s="14" t="str">
        <x:v>HISTORIQUE_CENI_2018_A_VALIDER</x:v>
      </x:c>
    </x:row>
    <x:row r="727">
      <x:c r="A727" s="14" t="n">
        <x:v>724</x:v>
      </x:c>
      <x:c r="B727" s="14" t="n">
        <x:v>71</x:v>
      </x:c>
      <x:c r="C727" s="14" t="str">
        <x:v>CHEFFERIE</x:v>
      </x:c>
      <x:c r="D727" s="14" t="str">
        <x:v>Walese</x:v>
      </x:c>
      <x:c r="E727" s="14"/>
      <x:c r="F727" s="14"/>
      <x:c r="G727" s="14"/>
      <x:c r="H727" s="14"/>
      <x:c r="I727" s="14" t="n">
        <x:v>2018</x:v>
      </x:c>
      <x:c r="J727" s="14" t="str">
        <x:v>S06</x:v>
      </x:c>
      <x:c r="K727" s="14" t="str">
        <x:v>HISTORIQUE_CENI_2018_A_VALIDER</x:v>
      </x:c>
    </x:row>
    <x:row r="728">
      <x:c r="A728" s="14" t="n">
        <x:v>725</x:v>
      </x:c>
      <x:c r="B728" s="14" t="n">
        <x:v>71</x:v>
      </x:c>
      <x:c r="C728" s="14" t="str">
        <x:v>SECTEUR</x:v>
      </x:c>
      <x:c r="D728" s="14" t="str">
        <x:v>Mangbutu</x:v>
      </x:c>
      <x:c r="E728" s="14"/>
      <x:c r="F728" s="14"/>
      <x:c r="G728" s="14"/>
      <x:c r="H728" s="14"/>
      <x:c r="I728" s="14" t="n">
        <x:v>2018</x:v>
      </x:c>
      <x:c r="J728" s="14" t="str">
        <x:v>S06</x:v>
      </x:c>
      <x:c r="K728" s="14" t="str">
        <x:v>HISTORIQUE_CENI_2018_A_VALIDER</x:v>
      </x:c>
    </x:row>
    <x:row r="729">
      <x:c r="A729" s="14" t="n">
        <x:v>726</x:v>
      </x:c>
      <x:c r="B729" s="14" t="n">
        <x:v>71</x:v>
      </x:c>
      <x:c r="C729" s="14" t="str">
        <x:v>SECTEUR</x:v>
      </x:c>
      <x:c r="D729" s="14" t="str">
        <x:v>Kibali</x:v>
      </x:c>
      <x:c r="E729" s="14"/>
      <x:c r="F729" s="14"/>
      <x:c r="G729" s="14"/>
      <x:c r="H729" s="14"/>
      <x:c r="I729" s="14" t="n">
        <x:v>2018</x:v>
      </x:c>
      <x:c r="J729" s="14" t="str">
        <x:v>S06</x:v>
      </x:c>
      <x:c r="K729" s="14" t="str">
        <x:v>HISTORIQUE_CENI_2018_A_VALIDER</x:v>
      </x:c>
    </x:row>
    <x:row r="730">
      <x:c r="A730" s="14" t="n">
        <x:v>727</x:v>
      </x:c>
      <x:c r="B730" s="14" t="n">
        <x:v>59</x:v>
      </x:c>
      <x:c r="C730" s="14" t="str">
        <x:v>SECTEUR</x:v>
      </x:c>
      <x:c r="D730" s="14" t="str">
        <x:v>Bolinga</x:v>
      </x:c>
      <x:c r="E730" s="14"/>
      <x:c r="F730" s="14"/>
      <x:c r="G730" s="14"/>
      <x:c r="H730" s="14"/>
      <x:c r="I730" s="14" t="n">
        <x:v>2018</x:v>
      </x:c>
      <x:c r="J730" s="14" t="str">
        <x:v>S06</x:v>
      </x:c>
      <x:c r="K730" s="14" t="str">
        <x:v>HISTORIQUE_CENI_2018_A_VALIDER</x:v>
      </x:c>
    </x:row>
    <x:row r="731">
      <x:c r="A731" s="14" t="n">
        <x:v>728</x:v>
      </x:c>
      <x:c r="B731" s="14" t="n">
        <x:v>59</x:v>
      </x:c>
      <x:c r="C731" s="14" t="str">
        <x:v>SECTEUR</x:v>
      </x:c>
      <x:c r="D731" s="14" t="str">
        <x:v>Bosoku</x:v>
      </x:c>
      <x:c r="E731" s="14"/>
      <x:c r="F731" s="14"/>
      <x:c r="G731" s="14"/>
      <x:c r="H731" s="14"/>
      <x:c r="I731" s="14" t="n">
        <x:v>2018</x:v>
      </x:c>
      <x:c r="J731" s="14" t="str">
        <x:v>S06</x:v>
      </x:c>
      <x:c r="K731" s="14" t="str">
        <x:v>HISTORIQUE_CENI_2018_A_VALIDER</x:v>
      </x:c>
    </x:row>
    <x:row r="732">
      <x:c r="A732" s="14" t="n">
        <x:v>729</x:v>
      </x:c>
      <x:c r="B732" s="14" t="n">
        <x:v>59</x:v>
      </x:c>
      <x:c r="C732" s="14" t="str">
        <x:v>SECTEUR</x:v>
      </x:c>
      <x:c r="D732" s="14" t="str">
        <x:v>Buma</x:v>
      </x:c>
      <x:c r="E732" s="14"/>
      <x:c r="F732" s="14"/>
      <x:c r="G732" s="14"/>
      <x:c r="H732" s="14"/>
      <x:c r="I732" s="14" t="n">
        <x:v>2018</x:v>
      </x:c>
      <x:c r="J732" s="14" t="str">
        <x:v>S06</x:v>
      </x:c>
      <x:c r="K732" s="14" t="str">
        <x:v>HISTORIQUE_CENI_2018_A_VALIDER</x:v>
      </x:c>
    </x:row>
    <x:row r="733">
      <x:c r="A733" s="14" t="n">
        <x:v>730</x:v>
      </x:c>
      <x:c r="B733" s="14" t="n">
        <x:v>59</x:v>
      </x:c>
      <x:c r="C733" s="14" t="str">
        <x:v>CHEFFERIE</x:v>
      </x:c>
      <x:c r="D733" s="14" t="str">
        <x:v>Mombesa</x:v>
      </x:c>
      <x:c r="E733" s="14"/>
      <x:c r="F733" s="14"/>
      <x:c r="G733" s="14"/>
      <x:c r="H733" s="14"/>
      <x:c r="I733" s="14" t="n">
        <x:v>2018</x:v>
      </x:c>
      <x:c r="J733" s="14" t="str">
        <x:v>S06</x:v>
      </x:c>
      <x:c r="K733" s="14" t="str">
        <x:v>HISTORIQUE_CENI_2018_A_VALIDER</x:v>
      </x:c>
    </x:row>
    <x:row r="734">
      <x:c r="A734" s="14" t="n">
        <x:v>731</x:v>
      </x:c>
      <x:c r="B734" s="14" t="n">
        <x:v>43</x:v>
      </x:c>
      <x:c r="C734" s="14" t="str">
        <x:v>SECTEUR</x:v>
      </x:c>
      <x:c r="D734" s="14" t="str">
        <x:v>Abumombazi</x:v>
      </x:c>
      <x:c r="E734" s="14"/>
      <x:c r="F734" s="14"/>
      <x:c r="G734" s="14"/>
      <x:c r="H734" s="14"/>
      <x:c r="I734" s="14" t="n">
        <x:v>2018</x:v>
      </x:c>
      <x:c r="J734" s="14" t="str">
        <x:v>S06</x:v>
      </x:c>
      <x:c r="K734" s="14" t="str">
        <x:v>HISTORIQUE_CENI_2018_A_VALIDER</x:v>
      </x:c>
    </x:row>
    <x:row r="735">
      <x:c r="A735" s="14" t="n">
        <x:v>732</x:v>
      </x:c>
      <x:c r="B735" s="14" t="n">
        <x:v>43</x:v>
      </x:c>
      <x:c r="C735" s="14" t="str">
        <x:v>SECTEUR</x:v>
      </x:c>
      <x:c r="D735" s="14" t="str">
        <x:v>Wapinda</x:v>
      </x:c>
      <x:c r="E735" s="14"/>
      <x:c r="F735" s="14"/>
      <x:c r="G735" s="14"/>
      <x:c r="H735" s="14"/>
      <x:c r="I735" s="14" t="n">
        <x:v>2018</x:v>
      </x:c>
      <x:c r="J735" s="14" t="str">
        <x:v>S06</x:v>
      </x:c>
      <x:c r="K735" s="14" t="str">
        <x:v>HISTORIQUE_CENI_2018_A_VALIDER</x:v>
      </x:c>
    </x:row>
    <x:row r="736">
      <x:c r="A736" s="14" t="n">
        <x:v>733</x:v>
      </x:c>
      <x:c r="B736" s="14" t="n">
        <x:v>43</x:v>
      </x:c>
      <x:c r="C736" s="14" t="str">
        <x:v>SECTEUR</x:v>
      </x:c>
      <x:c r="D736" s="14" t="str">
        <x:v>Yakoma</x:v>
      </x:c>
      <x:c r="E736" s="14"/>
      <x:c r="F736" s="14"/>
      <x:c r="G736" s="14"/>
      <x:c r="H736" s="14"/>
      <x:c r="I736" s="14" t="n">
        <x:v>2018</x:v>
      </x:c>
      <x:c r="J736" s="14" t="str">
        <x:v>S06</x:v>
      </x:c>
      <x:c r="K736" s="14" t="str">
        <x:v>HISTORIQUE_CENI_2018_A_VALIDER</x:v>
      </x:c>
    </x:row>
    <x:row r="737">
      <x:c r="A737" s="14" t="n">
        <x:v>734</x:v>
      </x:c>
      <x:c r="B737" s="14" t="n">
        <x:v>28</x:v>
      </x:c>
      <x:c r="C737" s="14" t="str">
        <x:v>SECTEUR</x:v>
      </x:c>
      <x:c r="D737" s="14" t="str">
        <x:v>Mongama</x:v>
      </x:c>
      <x:c r="E737" s="14"/>
      <x:c r="F737" s="14"/>
      <x:c r="G737" s="14"/>
      <x:c r="H737" s="14"/>
      <x:c r="I737" s="14" t="n">
        <x:v>2018</x:v>
      </x:c>
      <x:c r="J737" s="14" t="str">
        <x:v>S06</x:v>
      </x:c>
      <x:c r="K737" s="14" t="str">
        <x:v>HISTORIQUE_CENI_2018_A_VALIDER</x:v>
      </x:c>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2" hidden="0" customWidth="1"/>
    <x:col min="3" max="3" width="20" hidden="0" customWidth="1"/>
    <x:col min="4" max="4" width="22" hidden="0" customWidth="1"/>
    <x:col min="5" max="5" width="16" hidden="0" customWidth="1"/>
    <x:col min="6" max="6" width="32" hidden="0" customWidth="1"/>
    <x:col min="7" max="7" width="15" hidden="0" customWidth="1"/>
    <x:col min="8" max="8" width="14" hidden="0" customWidth="1"/>
    <x:col min="9" max="9" width="24" hidden="0" customWidth="1"/>
  </x:cols>
  <x:sheetData>
    <x:row r="1" ht="28" customHeight="1">
      <x:c r="A1" s="4" t="str">
        <x:v>Extrait historique de secteurs/chefferies — validation requise</x:v>
      </x:c>
      <x:c r="B1" s="4"/>
      <x:c r="C1" s="4"/>
      <x:c r="D1" s="4"/>
      <x:c r="E1" s="4"/>
      <x:c r="F1" s="4"/>
      <x:c r="G1" s="4"/>
      <x:c r="H1" s="4"/>
      <x:c r="I1" s="4"/>
    </x:row>
    <x:row r="2">
      <x:c r="A2" s="18" t="str">
        <x:v>Cet extrait sert à tester le modèle et le processus ETL; il n’est pas présenté comme la nomenclature nationale finale.</x:v>
      </x:c>
      <x:c r="B2" s="18"/>
      <x:c r="C2" s="18"/>
      <x:c r="D2" s="18"/>
      <x:c r="E2" s="18"/>
      <x:c r="F2" s="18"/>
      <x:c r="G2" s="18"/>
      <x:c r="H2" s="18"/>
      <x:c r="I2" s="18"/>
    </x:row>
    <x:row r="3">
      <x:c r="A3" s="26" t="str">
        <x:v>extrait_id</x:v>
      </x:c>
      <x:c r="B3" s="26" t="str">
        <x:v>province_id</x:v>
      </x:c>
      <x:c r="C3" s="26" t="str">
        <x:v>province</x:v>
      </x:c>
      <x:c r="D3" s="26" t="str">
        <x:v>territoire</x:v>
      </x:c>
      <x:c r="E3" s="26" t="str">
        <x:v>type_entite</x:v>
      </x:c>
      <x:c r="F3" s="26" t="str">
        <x:v>nom_entite</x:v>
      </x:c>
      <x:c r="G3" s="26" t="str">
        <x:v>annee_source</x:v>
      </x:c>
      <x:c r="H3" s="26" t="str">
        <x:v>source_id</x:v>
      </x:c>
      <x:c r="I3" s="26" t="str">
        <x:v>statut_validation</x:v>
      </x:c>
    </x:row>
    <x:row r="4">
      <x:c r="A4" s="14" t="n">
        <x:v>1</x:v>
      </x:c>
      <x:c r="B4" s="14" t="n">
        <x:v>12</x:v>
      </x:c>
      <x:c r="C4" s="14" t="str">
        <x:v>Bas-Uele</x:v>
      </x:c>
      <x:c r="D4" s="14" t="str">
        <x:v>Aketi</x:v>
      </x:c>
      <x:c r="E4" s="14" t="str">
        <x:v>CHEFFERIE</x:v>
      </x:c>
      <x:c r="F4" s="14" t="str">
        <x:v>Avuru-Duma</x:v>
      </x:c>
      <x:c r="G4" s="14" t="str">
        <x:v>2018</x:v>
      </x:c>
      <x:c r="H4" s="14" t="str">
        <x:v>S06</x:v>
      </x:c>
      <x:c r="I4" s="14" t="str">
        <x:v>HISTORIQUE_A_VALIDER</x:v>
      </x:c>
    </x:row>
    <x:row r="5">
      <x:c r="A5" s="14" t="n">
        <x:v>2</x:v>
      </x:c>
      <x:c r="B5" s="14" t="n">
        <x:v>12</x:v>
      </x:c>
      <x:c r="C5" s="14" t="str">
        <x:v>Bas-Uele</x:v>
      </x:c>
      <x:c r="D5" s="14" t="str">
        <x:v>Aketi</x:v>
      </x:c>
      <x:c r="E5" s="14" t="str">
        <x:v>CHEFFERIE</x:v>
      </x:c>
      <x:c r="F5" s="14" t="str">
        <x:v>Avuru-Gatanga</x:v>
      </x:c>
      <x:c r="G5" s="14" t="str">
        <x:v>2018</x:v>
      </x:c>
      <x:c r="H5" s="14" t="str">
        <x:v>S06</x:v>
      </x:c>
      <x:c r="I5" s="14" t="str">
        <x:v>HISTORIQUE_A_VALIDER</x:v>
      </x:c>
    </x:row>
    <x:row r="6">
      <x:c r="A6" s="14" t="n">
        <x:v>3</x:v>
      </x:c>
      <x:c r="B6" s="14" t="n">
        <x:v>12</x:v>
      </x:c>
      <x:c r="C6" s="14" t="str">
        <x:v>Bas-Uele</x:v>
      </x:c>
      <x:c r="D6" s="14" t="str">
        <x:v>Aketi</x:v>
      </x:c>
      <x:c r="E6" s="14" t="str">
        <x:v>CHEFFERIE</x:v>
      </x:c>
      <x:c r="F6" s="14" t="str">
        <x:v>Bondongola</x:v>
      </x:c>
      <x:c r="G6" s="14" t="str">
        <x:v>2018</x:v>
      </x:c>
      <x:c r="H6" s="14" t="str">
        <x:v>S06</x:v>
      </x:c>
      <x:c r="I6" s="14" t="str">
        <x:v>HISTORIQUE_A_VALIDER</x:v>
      </x:c>
    </x:row>
    <x:row r="7">
      <x:c r="A7" s="14" t="n">
        <x:v>4</x:v>
      </x:c>
      <x:c r="B7" s="14" t="n">
        <x:v>12</x:v>
      </x:c>
      <x:c r="C7" s="14" t="str">
        <x:v>Bas-Uele</x:v>
      </x:c>
      <x:c r="D7" s="14" t="str">
        <x:v>Aketi</x:v>
      </x:c>
      <x:c r="E7" s="14" t="str">
        <x:v>CHEFFERIE</x:v>
      </x:c>
      <x:c r="F7" s="14" t="str">
        <x:v>Mabinza</x:v>
      </x:c>
      <x:c r="G7" s="14" t="str">
        <x:v>2018</x:v>
      </x:c>
      <x:c r="H7" s="14" t="str">
        <x:v>S06</x:v>
      </x:c>
      <x:c r="I7" s="14" t="str">
        <x:v>HISTORIQUE_A_VALIDER</x:v>
      </x:c>
    </x:row>
    <x:row r="8">
      <x:c r="A8" s="14" t="n">
        <x:v>5</x:v>
      </x:c>
      <x:c r="B8" s="14" t="n">
        <x:v>12</x:v>
      </x:c>
      <x:c r="C8" s="14" t="str">
        <x:v>Bas-Uele</x:v>
      </x:c>
      <x:c r="D8" s="14" t="str">
        <x:v>Aketi</x:v>
      </x:c>
      <x:c r="E8" s="14" t="str">
        <x:v>CHEFFERIE</x:v>
      </x:c>
      <x:c r="F8" s="14" t="str">
        <x:v>Mobati-Boyele</x:v>
      </x:c>
      <x:c r="G8" s="14" t="str">
        <x:v>2018</x:v>
      </x:c>
      <x:c r="H8" s="14" t="str">
        <x:v>S06</x:v>
      </x:c>
      <x:c r="I8" s="14" t="str">
        <x:v>HISTORIQUE_A_VALIDER</x:v>
      </x:c>
    </x:row>
    <x:row r="9">
      <x:c r="A9" s="14" t="n">
        <x:v>6</x:v>
      </x:c>
      <x:c r="B9" s="14" t="n">
        <x:v>12</x:v>
      </x:c>
      <x:c r="C9" s="14" t="str">
        <x:v>Bas-Uele</x:v>
      </x:c>
      <x:c r="D9" s="14" t="str">
        <x:v>Aketi</x:v>
      </x:c>
      <x:c r="E9" s="14" t="str">
        <x:v>CHEFFERIE</x:v>
      </x:c>
      <x:c r="F9" s="14" t="str">
        <x:v>Mongwandi</x:v>
      </x:c>
      <x:c r="G9" s="14" t="str">
        <x:v>2018</x:v>
      </x:c>
      <x:c r="H9" s="14" t="str">
        <x:v>S06</x:v>
      </x:c>
      <x:c r="I9" s="14" t="str">
        <x:v>HISTORIQUE_A_VALIDER</x:v>
      </x:c>
    </x:row>
    <x:row r="10">
      <x:c r="A10" s="14" t="n">
        <x:v>7</x:v>
      </x:c>
      <x:c r="B10" s="14" t="n">
        <x:v>12</x:v>
      </x:c>
      <x:c r="C10" s="14" t="str">
        <x:v>Bas-Uele</x:v>
      </x:c>
      <x:c r="D10" s="14" t="str">
        <x:v>Aketi</x:v>
      </x:c>
      <x:c r="E10" s="14" t="str">
        <x:v>SECTEUR</x:v>
      </x:c>
      <x:c r="F10" s="14" t="str">
        <x:v>Gbandi</x:v>
      </x:c>
      <x:c r="G10" s="14" t="str">
        <x:v>2018</x:v>
      </x:c>
      <x:c r="H10" s="14" t="str">
        <x:v>S06</x:v>
      </x:c>
      <x:c r="I10" s="14" t="str">
        <x:v>HISTORIQUE_A_VALIDER</x:v>
      </x:c>
    </x:row>
    <x:row r="11">
      <x:c r="A11" s="14" t="n">
        <x:v>8</x:v>
      </x:c>
      <x:c r="B11" s="14" t="n">
        <x:v>12</x:v>
      </x:c>
      <x:c r="C11" s="14" t="str">
        <x:v>Bas-Uele</x:v>
      </x:c>
      <x:c r="D11" s="14" t="str">
        <x:v>Aketi</x:v>
      </x:c>
      <x:c r="E11" s="14" t="str">
        <x:v>SECTEUR</x:v>
      </x:c>
      <x:c r="F11" s="14" t="str">
        <x:v>Yoko</x:v>
      </x:c>
      <x:c r="G11" s="14" t="str">
        <x:v>2018</x:v>
      </x:c>
      <x:c r="H11" s="14" t="str">
        <x:v>S06</x:v>
      </x:c>
      <x:c r="I11" s="14" t="str">
        <x:v>HISTORIQUE_A_VALIDER</x:v>
      </x:c>
    </x:row>
    <x:row r="12">
      <x:c r="A12" s="14" t="n">
        <x:v>9</x:v>
      </x:c>
      <x:c r="B12" s="14" t="n">
        <x:v>12</x:v>
      </x:c>
      <x:c r="C12" s="14" t="str">
        <x:v>Bas-Uele</x:v>
      </x:c>
      <x:c r="D12" s="14" t="str">
        <x:v>Ango</x:v>
      </x:c>
      <x:c r="E12" s="14" t="str">
        <x:v>CHEFFERIE</x:v>
      </x:c>
      <x:c r="F12" s="14" t="str">
        <x:v>Ezo</x:v>
      </x:c>
      <x:c r="G12" s="14" t="str">
        <x:v>2018</x:v>
      </x:c>
      <x:c r="H12" s="14" t="str">
        <x:v>S06</x:v>
      </x:c>
      <x:c r="I12" s="14" t="str">
        <x:v>HISTORIQUE_A_VALIDER</x:v>
      </x:c>
    </x:row>
    <x:row r="13">
      <x:c r="A13" s="14" t="n">
        <x:v>10</x:v>
      </x:c>
      <x:c r="B13" s="14" t="n">
        <x:v>12</x:v>
      </x:c>
      <x:c r="C13" s="14" t="str">
        <x:v>Bas-Uele</x:v>
      </x:c>
      <x:c r="D13" s="14" t="str">
        <x:v>Ango</x:v>
      </x:c>
      <x:c r="E13" s="14" t="str">
        <x:v>CHEFFERIE</x:v>
      </x:c>
      <x:c r="F13" s="14" t="str">
        <x:v>Mopoy</x:v>
      </x:c>
      <x:c r="G13" s="14" t="str">
        <x:v>2018</x:v>
      </x:c>
      <x:c r="H13" s="14" t="str">
        <x:v>S06</x:v>
      </x:c>
      <x:c r="I13" s="14" t="str">
        <x:v>HISTORIQUE_A_VALIDER</x:v>
      </x:c>
    </x:row>
    <x:row r="14">
      <x:c r="A14" s="14" t="n">
        <x:v>11</x:v>
      </x:c>
      <x:c r="B14" s="14" t="n">
        <x:v>12</x:v>
      </x:c>
      <x:c r="C14" s="14" t="str">
        <x:v>Bas-Uele</x:v>
      </x:c>
      <x:c r="D14" s="14" t="str">
        <x:v>Ango</x:v>
      </x:c>
      <x:c r="E14" s="14" t="str">
        <x:v>CHEFFERIE</x:v>
      </x:c>
      <x:c r="F14" s="14" t="str">
        <x:v>Ngindo</x:v>
      </x:c>
      <x:c r="G14" s="14" t="str">
        <x:v>2018</x:v>
      </x:c>
      <x:c r="H14" s="14" t="str">
        <x:v>S06</x:v>
      </x:c>
      <x:c r="I14" s="14" t="str">
        <x:v>HISTORIQUE_A_VALIDER</x:v>
      </x:c>
    </x:row>
    <x:row r="15">
      <x:c r="A15" s="14" t="n">
        <x:v>12</x:v>
      </x:c>
      <x:c r="B15" s="14" t="n">
        <x:v>12</x:v>
      </x:c>
      <x:c r="C15" s="14" t="str">
        <x:v>Bas-Uele</x:v>
      </x:c>
      <x:c r="D15" s="14" t="str">
        <x:v>Ango</x:v>
      </x:c>
      <x:c r="E15" s="14" t="str">
        <x:v>CHEFFERIE</x:v>
      </x:c>
      <x:c r="F15" s="14" t="str">
        <x:v>Sasa</x:v>
      </x:c>
      <x:c r="G15" s="14" t="str">
        <x:v>2018</x:v>
      </x:c>
      <x:c r="H15" s="14" t="str">
        <x:v>S06</x:v>
      </x:c>
      <x:c r="I15" s="14" t="str">
        <x:v>HISTORIQUE_A_VALIDER</x:v>
      </x:c>
    </x:row>
    <x:row r="16">
      <x:c r="A16" s="14" t="n">
        <x:v>13</x:v>
      </x:c>
      <x:c r="B16" s="14" t="n">
        <x:v>14</x:v>
      </x:c>
      <x:c r="C16" s="14" t="str">
        <x:v>Ituri</x:v>
      </x:c>
      <x:c r="D16" s="14" t="str">
        <x:v>Aru</x:v>
      </x:c>
      <x:c r="E16" s="14" t="str">
        <x:v>CHEFFERIE</x:v>
      </x:c>
      <x:c r="F16" s="14" t="str">
        <x:v>Aluru</x:v>
      </x:c>
      <x:c r="G16" s="14" t="str">
        <x:v>2018</x:v>
      </x:c>
      <x:c r="H16" s="14" t="str">
        <x:v>S06</x:v>
      </x:c>
      <x:c r="I16" s="14" t="str">
        <x:v>HISTORIQUE_A_VALIDER</x:v>
      </x:c>
    </x:row>
    <x:row r="17">
      <x:c r="A17" s="14" t="n">
        <x:v>14</x:v>
      </x:c>
      <x:c r="B17" s="14" t="n">
        <x:v>14</x:v>
      </x:c>
      <x:c r="C17" s="14" t="str">
        <x:v>Ituri</x:v>
      </x:c>
      <x:c r="D17" s="14" t="str">
        <x:v>Aru</x:v>
      </x:c>
      <x:c r="E17" s="14" t="str">
        <x:v>CHEFFERIE</x:v>
      </x:c>
      <x:c r="F17" s="14" t="str">
        <x:v>Kakwa</x:v>
      </x:c>
      <x:c r="G17" s="14" t="str">
        <x:v>2018</x:v>
      </x:c>
      <x:c r="H17" s="14" t="str">
        <x:v>S06</x:v>
      </x:c>
      <x:c r="I17" s="14" t="str">
        <x:v>HISTORIQUE_A_VALIDER</x:v>
      </x:c>
    </x:row>
    <x:row r="18">
      <x:c r="A18" s="14" t="n">
        <x:v>15</x:v>
      </x:c>
      <x:c r="B18" s="14" t="n">
        <x:v>14</x:v>
      </x:c>
      <x:c r="C18" s="14" t="str">
        <x:v>Ituri</x:v>
      </x:c>
      <x:c r="D18" s="14" t="str">
        <x:v>Aru</x:v>
      </x:c>
      <x:c r="E18" s="14" t="str">
        <x:v>CHEFFERIE</x:v>
      </x:c>
      <x:c r="F18" s="14" t="str">
        <x:v>Kaliko-Omi</x:v>
      </x:c>
      <x:c r="G18" s="14" t="str">
        <x:v>2018</x:v>
      </x:c>
      <x:c r="H18" s="14" t="str">
        <x:v>S06</x:v>
      </x:c>
      <x:c r="I18" s="14" t="str">
        <x:v>HISTORIQUE_A_VALIDER</x:v>
      </x:c>
    </x:row>
    <x:row r="19">
      <x:c r="A19" s="14" t="n">
        <x:v>16</x:v>
      </x:c>
      <x:c r="B19" s="14" t="n">
        <x:v>14</x:v>
      </x:c>
      <x:c r="C19" s="14" t="str">
        <x:v>Ituri</x:v>
      </x:c>
      <x:c r="D19" s="14" t="str">
        <x:v>Aru</x:v>
      </x:c>
      <x:c r="E19" s="14" t="str">
        <x:v>CHEFFERIE</x:v>
      </x:c>
      <x:c r="F19" s="14" t="str">
        <x:v>Lu</x:v>
      </x:c>
      <x:c r="G19" s="14" t="str">
        <x:v>2018</x:v>
      </x:c>
      <x:c r="H19" s="14" t="str">
        <x:v>S06</x:v>
      </x:c>
      <x:c r="I19" s="14" t="str">
        <x:v>HISTORIQUE_A_VALIDER</x:v>
      </x:c>
    </x:row>
    <x:row r="20">
      <x:c r="A20" s="14" t="n">
        <x:v>17</x:v>
      </x:c>
      <x:c r="B20" s="14" t="n">
        <x:v>14</x:v>
      </x:c>
      <x:c r="C20" s="14" t="str">
        <x:v>Ituri</x:v>
      </x:c>
      <x:c r="D20" s="14" t="str">
        <x:v>Aru</x:v>
      </x:c>
      <x:c r="E20" s="14" t="str">
        <x:v>CHEFFERIE</x:v>
      </x:c>
      <x:c r="F20" s="14" t="str">
        <x:v>Ndo-Okebo</x:v>
      </x:c>
      <x:c r="G20" s="14" t="str">
        <x:v>2018</x:v>
      </x:c>
      <x:c r="H20" s="14" t="str">
        <x:v>S06</x:v>
      </x:c>
      <x:c r="I20" s="14" t="str">
        <x:v>HISTORIQUE_A_VALIDER</x:v>
      </x:c>
    </x:row>
    <x:row r="21">
      <x:c r="A21" s="14" t="n">
        <x:v>18</x:v>
      </x:c>
      <x:c r="B21" s="14" t="n">
        <x:v>14</x:v>
      </x:c>
      <x:c r="C21" s="14" t="str">
        <x:v>Ituri</x:v>
      </x:c>
      <x:c r="D21" s="14" t="str">
        <x:v>Aru</x:v>
      </x:c>
      <x:c r="E21" s="14" t="str">
        <x:v>CHEFFERIE</x:v>
      </x:c>
      <x:c r="F21" s="14" t="str">
        <x:v>Nio-Kamule</x:v>
      </x:c>
      <x:c r="G21" s="14" t="str">
        <x:v>2018</x:v>
      </x:c>
      <x:c r="H21" s="14" t="str">
        <x:v>S06</x:v>
      </x:c>
      <x:c r="I21" s="14" t="str">
        <x:v>HISTORIQUE_A_VALIDER</x:v>
      </x:c>
    </x:row>
    <x:row r="22">
      <x:c r="A22" s="14" t="n">
        <x:v>19</x:v>
      </x:c>
      <x:c r="B22" s="14" t="n">
        <x:v>14</x:v>
      </x:c>
      <x:c r="C22" s="14" t="str">
        <x:v>Ituri</x:v>
      </x:c>
      <x:c r="D22" s="14" t="str">
        <x:v>Aru</x:v>
      </x:c>
      <x:c r="E22" s="14" t="str">
        <x:v>CHEFFERIE</x:v>
      </x:c>
      <x:c r="F22" s="14" t="str">
        <x:v>Otso</x:v>
      </x:c>
      <x:c r="G22" s="14" t="str">
        <x:v>2018</x:v>
      </x:c>
      <x:c r="H22" s="14" t="str">
        <x:v>S06</x:v>
      </x:c>
      <x:c r="I22" s="14" t="str">
        <x:v>HISTORIQUE_A_VALIDER</x:v>
      </x:c>
    </x:row>
    <x:row r="23">
      <x:c r="A23" s="14" t="n">
        <x:v>20</x:v>
      </x:c>
      <x:c r="B23" s="14" t="n">
        <x:v>14</x:v>
      </x:c>
      <x:c r="C23" s="14" t="str">
        <x:v>Ituri</x:v>
      </x:c>
      <x:c r="D23" s="14" t="str">
        <x:v>Aru</x:v>
      </x:c>
      <x:c r="E23" s="14" t="str">
        <x:v>CHEFFERIE</x:v>
      </x:c>
      <x:c r="F23" s="14" t="str">
        <x:v>Zaki</x:v>
      </x:c>
      <x:c r="G23" s="14" t="str">
        <x:v>2018</x:v>
      </x:c>
      <x:c r="H23" s="14" t="str">
        <x:v>S06</x:v>
      </x:c>
      <x:c r="I23" s="14" t="str">
        <x:v>HISTORIQUE_A_VALIDER</x:v>
      </x:c>
    </x:row>
    <x:row r="24">
      <x:c r="A24" s="14" t="n">
        <x:v>21</x:v>
      </x:c>
      <x:c r="B24" s="14" t="n">
        <x:v>11</x:v>
      </x:c>
      <x:c r="C24" s="14" t="str">
        <x:v>Tshopo</x:v>
      </x:c>
      <x:c r="D24" s="14" t="str">
        <x:v>Bafwasende</x:v>
      </x:c>
      <x:c r="E24" s="14" t="str">
        <x:v>SECTEUR</x:v>
      </x:c>
      <x:c r="F24" s="14" t="str">
        <x:v>Bafwandaka</x:v>
      </x:c>
      <x:c r="G24" s="14" t="str">
        <x:v>2018</x:v>
      </x:c>
      <x:c r="H24" s="14" t="str">
        <x:v>S06</x:v>
      </x:c>
      <x:c r="I24" s="14" t="str">
        <x:v>HISTORIQUE_A_VALIDER</x:v>
      </x:c>
    </x:row>
    <x:row r="25">
      <x:c r="A25" s="14" t="n">
        <x:v>22</x:v>
      </x:c>
      <x:c r="B25" s="14" t="n">
        <x:v>11</x:v>
      </x:c>
      <x:c r="C25" s="14" t="str">
        <x:v>Tshopo</x:v>
      </x:c>
      <x:c r="D25" s="14" t="str">
        <x:v>Bafwasende</x:v>
      </x:c>
      <x:c r="E25" s="14" t="str">
        <x:v>SECTEUR</x:v>
      </x:c>
      <x:c r="F25" s="14" t="str">
        <x:v>Bakumu d'Angumu</x:v>
      </x:c>
      <x:c r="G25" s="14" t="str">
        <x:v>2018</x:v>
      </x:c>
      <x:c r="H25" s="14" t="str">
        <x:v>S06</x:v>
      </x:c>
      <x:c r="I25" s="14" t="str">
        <x:v>HISTORIQUE_A_VALIDER</x:v>
      </x:c>
    </x:row>
    <x:row r="26">
      <x:c r="A26" s="14" t="n">
        <x:v>23</x:v>
      </x:c>
      <x:c r="B26" s="14" t="n">
        <x:v>11</x:v>
      </x:c>
      <x:c r="C26" s="14" t="str">
        <x:v>Tshopo</x:v>
      </x:c>
      <x:c r="D26" s="14" t="str">
        <x:v>Bafwasende</x:v>
      </x:c>
      <x:c r="E26" s="14" t="str">
        <x:v>SECTEUR</x:v>
      </x:c>
      <x:c r="F26" s="14" t="str">
        <x:v>Bakundumu</x:v>
      </x:c>
      <x:c r="G26" s="14" t="str">
        <x:v>2018</x:v>
      </x:c>
      <x:c r="H26" s="14" t="str">
        <x:v>S06</x:v>
      </x:c>
      <x:c r="I26" s="14" t="str">
        <x:v>HISTORIQUE_A_VALIDER</x:v>
      </x:c>
    </x:row>
    <x:row r="27">
      <x:c r="A27" s="14" t="n">
        <x:v>24</x:v>
      </x:c>
      <x:c r="B27" s="14" t="n">
        <x:v>11</x:v>
      </x:c>
      <x:c r="C27" s="14" t="str">
        <x:v>Tshopo</x:v>
      </x:c>
      <x:c r="D27" s="14" t="str">
        <x:v>Bafwasende</x:v>
      </x:c>
      <x:c r="E27" s="14" t="str">
        <x:v>SECTEUR</x:v>
      </x:c>
      <x:c r="F27" s="14" t="str">
        <x:v>Barumbi-Opienge</x:v>
      </x:c>
      <x:c r="G27" s="14" t="str">
        <x:v>2018</x:v>
      </x:c>
      <x:c r="H27" s="14" t="str">
        <x:v>S06</x:v>
      </x:c>
      <x:c r="I27" s="14" t="str">
        <x:v>HISTORIQUE_A_VALIDER</x:v>
      </x:c>
    </x:row>
    <x:row r="28">
      <x:c r="A28" s="14" t="n">
        <x:v>25</x:v>
      </x:c>
      <x:c r="B28" s="14" t="n">
        <x:v>11</x:v>
      </x:c>
      <x:c r="C28" s="14" t="str">
        <x:v>Tshopo</x:v>
      </x:c>
      <x:c r="D28" s="14" t="str">
        <x:v>Bafwasende</x:v>
      </x:c>
      <x:c r="E28" s="14" t="str">
        <x:v>SECTEUR</x:v>
      </x:c>
      <x:c r="F28" s="14" t="str">
        <x:v>Bekeni-Kondolole</x:v>
      </x:c>
      <x:c r="G28" s="14" t="str">
        <x:v>2018</x:v>
      </x:c>
      <x:c r="H28" s="14" t="str">
        <x:v>S06</x:v>
      </x:c>
      <x:c r="I28" s="14" t="str">
        <x:v>HISTORIQUE_A_VALIDER</x:v>
      </x:c>
    </x:row>
    <x:row r="29">
      <x:c r="A29" s="14" t="n">
        <x:v>26</x:v>
      </x:c>
      <x:c r="B29" s="14" t="n">
        <x:v>11</x:v>
      </x:c>
      <x:c r="C29" s="14" t="str">
        <x:v>Tshopo</x:v>
      </x:c>
      <x:c r="D29" s="14" t="str">
        <x:v>Bafwasende</x:v>
      </x:c>
      <x:c r="E29" s="14" t="str">
        <x:v>SECTEUR</x:v>
      </x:c>
      <x:c r="F29" s="14" t="str">
        <x:v>Bemili</x:v>
      </x:c>
      <x:c r="G29" s="14" t="str">
        <x:v>2018</x:v>
      </x:c>
      <x:c r="H29" s="14" t="str">
        <x:v>S06</x:v>
      </x:c>
      <x:c r="I29" s="14" t="str">
        <x:v>HISTORIQUE_A_VALIDER</x:v>
      </x:c>
    </x:row>
    <x:row r="30">
      <x:c r="A30" s="14" t="n">
        <x:v>27</x:v>
      </x:c>
      <x:c r="B30" s="14" t="n">
        <x:v>4</x:v>
      </x:c>
      <x:c r="C30" s="14" t="str">
        <x:v>Kwilu</x:v>
      </x:c>
      <x:c r="D30" s="14" t="str">
        <x:v>Bagata</x:v>
      </x:c>
      <x:c r="E30" s="14" t="str">
        <x:v>SECTEUR</x:v>
      </x:c>
      <x:c r="F30" s="14" t="str">
        <x:v>Kidzweme</x:v>
      </x:c>
      <x:c r="G30" s="14" t="str">
        <x:v>2018</x:v>
      </x:c>
      <x:c r="H30" s="14" t="str">
        <x:v>S06</x:v>
      </x:c>
      <x:c r="I30" s="14" t="str">
        <x:v>HISTORIQUE_A_VALIDER</x:v>
      </x:c>
    </x:row>
    <x:row r="31">
      <x:c r="A31" s="14" t="n">
        <x:v>28</x:v>
      </x:c>
      <x:c r="B31" s="14" t="n">
        <x:v>4</x:v>
      </x:c>
      <x:c r="C31" s="14" t="str">
        <x:v>Kwilu</x:v>
      </x:c>
      <x:c r="D31" s="14" t="str">
        <x:v>Bagata</x:v>
      </x:c>
      <x:c r="E31" s="14" t="str">
        <x:v>SECTEUR</x:v>
      </x:c>
      <x:c r="F31" s="14" t="str">
        <x:v>Kwango-Kasai</x:v>
      </x:c>
      <x:c r="G31" s="14" t="str">
        <x:v>2018</x:v>
      </x:c>
      <x:c r="H31" s="14" t="str">
        <x:v>S06</x:v>
      </x:c>
      <x:c r="I31" s="14" t="str">
        <x:v>HISTORIQUE_A_VALIDER</x:v>
      </x:c>
    </x:row>
    <x:row r="32">
      <x:c r="A32" s="14" t="n">
        <x:v>29</x:v>
      </x:c>
      <x:c r="B32" s="14" t="n">
        <x:v>4</x:v>
      </x:c>
      <x:c r="C32" s="14" t="str">
        <x:v>Kwilu</x:v>
      </x:c>
      <x:c r="D32" s="14" t="str">
        <x:v>Bagata</x:v>
      </x:c>
      <x:c r="E32" s="14" t="str">
        <x:v>SECTEUR</x:v>
      </x:c>
      <x:c r="F32" s="14" t="str">
        <x:v>Kwilu-Ntobere</x:v>
      </x:c>
      <x:c r="G32" s="14" t="str">
        <x:v>2018</x:v>
      </x:c>
      <x:c r="H32" s="14" t="str">
        <x:v>S06</x:v>
      </x:c>
      <x:c r="I32" s="14" t="str">
        <x:v>HISTORIQUE_A_VALIDER</x:v>
      </x:c>
    </x:row>
    <x:row r="33">
      <x:c r="A33" s="14" t="n">
        <x:v>30</x:v>
      </x:c>
      <x:c r="B33" s="14" t="n">
        <x:v>4</x:v>
      </x:c>
      <x:c r="C33" s="14" t="str">
        <x:v>Kwilu</x:v>
      </x:c>
      <x:c r="D33" s="14" t="str">
        <x:v>Bagata</x:v>
      </x:c>
      <x:c r="E33" s="14" t="str">
        <x:v>SECTEUR</x:v>
      </x:c>
      <x:c r="F33" s="14" t="str">
        <x:v>Manzasay</x:v>
      </x:c>
      <x:c r="G33" s="14" t="str">
        <x:v>2018</x:v>
      </x:c>
      <x:c r="H33" s="14" t="str">
        <x:v>S06</x:v>
      </x:c>
      <x:c r="I33" s="14" t="str">
        <x:v>HISTORIQUE_A_VALIDER</x:v>
      </x:c>
    </x:row>
    <x:row r="34">
      <x:c r="A34" s="14" t="n">
        <x:v>31</x:v>
      </x:c>
      <x:c r="B34" s="14" t="n">
        <x:v>4</x:v>
      </x:c>
      <x:c r="C34" s="14" t="str">
        <x:v>Kwilu</x:v>
      </x:c>
      <x:c r="D34" s="14" t="str">
        <x:v>Bagata</x:v>
      </x:c>
      <x:c r="E34" s="14" t="str">
        <x:v>SECTEUR</x:v>
      </x:c>
      <x:c r="F34" s="14" t="str">
        <x:v>Wamba-Fatundu</x:v>
      </x:c>
      <x:c r="G34" s="14" t="str">
        <x:v>2018</x:v>
      </x:c>
      <x:c r="H34" s="14" t="str">
        <x:v>S06</x:v>
      </x:c>
      <x:c r="I34" s="14" t="str">
        <x:v>HISTORIQUE_A_VALIDER</x:v>
      </x:c>
    </x:row>
  </x:sheetData>
  <x:mergeCells>
    <x:mergeCell ref="A1:I1"/>
    <x:mergeCell ref="A2:I2"/>
  </x:mergeCells>
  <x:pageMargins left="0.7" right="0.7" top="0.75" bottom="0.75" header="0.3" footer="0.3"/>
  <x:tableParts count="1">
    <x:tablePart xmlns:r="http://schemas.openxmlformats.org/officeDocument/2006/relationships" r:id="Re363ce9ffc564f3c"/>
  </x:tableParts>
</x:worksheet>
</file>

<file path=xl/worksheets/sheet7.xml><?xml version="1.0" encoding="utf-8"?>
<x:worksheet xmlns:x="http://schemas.openxmlformats.org/spreadsheetml/2006/main">
  <x:sheetFormatPr defaultRowHeight="15"/>
  <x:cols>
    <x:col min="1" max="1" width="16" hidden="0" customWidth="1"/>
    <x:col min="2" max="2" width="22" hidden="0" customWidth="1"/>
    <x:col min="3" max="3" width="28" hidden="0" customWidth="1"/>
    <x:col min="4" max="4" width="24" hidden="0" customWidth="1"/>
    <x:col min="5" max="5" width="16" hidden="0" customWidth="1"/>
    <x:col min="6" max="6" width="22" hidden="0" customWidth="1"/>
    <x:col min="7" max="7" width="14" hidden="0" customWidth="1"/>
    <x:col min="8" max="8" width="14" hidden="0" customWidth="1"/>
    <x:col min="9" max="9" width="14" hidden="0" customWidth="1"/>
    <x:col min="10" max="10" width="16" hidden="0" customWidth="1"/>
    <x:col min="11" max="11" width="20" hidden="0" customWidth="1"/>
  </x:cols>
  <x:sheetData>
    <x:row r="1" ht="28" customHeight="1">
      <x:c r="A1" s="4" t="str">
        <x:v>Groupements — structure d’import</x:v>
      </x:c>
      <x:c r="B1" s="4"/>
      <x:c r="C1" s="4"/>
      <x:c r="D1" s="4"/>
      <x:c r="E1" s="4"/>
      <x:c r="F1" s="4"/>
      <x:c r="G1" s="4"/>
      <x:c r="H1" s="4"/>
      <x:c r="I1" s="4"/>
      <x:c r="J1" s="4"/>
      <x:c r="K1" s="4"/>
    </x:row>
    <x:row r="2">
      <x:c r="A2" s="18" t="str">
        <x:v>Champs alignés sur les attributs annoncés par le RGC : territoire, secteur/chefferie, nom du groupement, code administratif et localisation.</x:v>
      </x:c>
      <x:c r="B2" s="18"/>
      <x:c r="C2" s="18"/>
      <x:c r="D2" s="18"/>
      <x:c r="E2" s="18"/>
      <x:c r="F2" s="18"/>
      <x:c r="G2" s="18"/>
      <x:c r="H2" s="18"/>
      <x:c r="I2" s="18"/>
      <x:c r="J2" s="18"/>
      <x:c r="K2" s="18"/>
    </x:row>
    <x:row r="3">
      <x:c r="A3" s="26" t="str">
        <x:v>groupement_id</x:v>
      </x:c>
      <x:c r="B3" s="26" t="str">
        <x:v>secteur_chefferie_id</x:v>
      </x:c>
      <x:c r="C3" s="26" t="str">
        <x:v>nom_groupement</x:v>
      </x:c>
      <x:c r="D3" s="26" t="str">
        <x:v>nom_alternatif</x:v>
      </x:c>
      <x:c r="E3" s="26" t="str">
        <x:v>pcode</x:v>
      </x:c>
      <x:c r="F3" s="26" t="str">
        <x:v>code_administratif</x:v>
      </x:c>
      <x:c r="G3" s="26" t="str">
        <x:v>latitude</x:v>
      </x:c>
      <x:c r="H3" s="26" t="str">
        <x:v>longitude</x:v>
      </x:c>
      <x:c r="I3" s="26" t="str">
        <x:v>source_id</x:v>
      </x:c>
      <x:c r="J3" s="26" t="str">
        <x:v>date_source</x:v>
      </x:c>
      <x:c r="K3" s="26" t="str">
        <x:v>statut_validation</x:v>
      </x:c>
    </x:row>
    <x:row r="4">
      <x:c r="A4" t="str"/>
      <x:c r="B4" t="str"/>
      <x:c r="C4" t="str"/>
      <x:c r="D4" t="str"/>
      <x:c r="E4" t="str"/>
      <x:c r="F4" t="str"/>
      <x:c r="G4" t="str"/>
      <x:c r="H4" t="str"/>
      <x:c r="I4" t="str"/>
      <x:c r="J4" t="str"/>
      <x:c r="K4" t="str"/>
    </x:row>
  </x:sheetData>
  <x:mergeCells>
    <x:mergeCell ref="A1:K1"/>
    <x:mergeCell ref="A2:K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6" hidden="0" customWidth="1"/>
    <x:col min="3" max="3" width="28" hidden="0" customWidth="1"/>
    <x:col min="4" max="4" width="24" hidden="0" customWidth="1"/>
    <x:col min="5" max="5" width="18" hidden="0" customWidth="1"/>
    <x:col min="6" max="6" width="16" hidden="0" customWidth="1"/>
    <x:col min="7" max="7" width="16" hidden="0" customWidth="1"/>
    <x:col min="8" max="8" width="14" hidden="0" customWidth="1"/>
    <x:col min="9" max="9" width="14" hidden="0" customWidth="1"/>
    <x:col min="10" max="10" width="14" hidden="0" customWidth="1"/>
    <x:col min="11" max="11" width="16" hidden="0" customWidth="1"/>
    <x:col min="12" max="12" width="20" hidden="0" customWidth="1"/>
  </x:cols>
  <x:sheetData>
    <x:row r="1" ht="28" customHeight="1">
      <x:c r="A1" s="4" t="str">
        <x:v>Villages / localités — structure d’import géographique</x:v>
      </x:c>
      <x:c r="B1" s="4"/>
      <x:c r="C1" s="4"/>
      <x:c r="D1" s="4"/>
      <x:c r="E1" s="4"/>
      <x:c r="F1" s="4"/>
      <x:c r="G1" s="4"/>
      <x:c r="H1" s="4"/>
      <x:c r="I1" s="4"/>
      <x:c r="J1" s="4"/>
      <x:c r="K1" s="4"/>
      <x:c r="L1" s="4"/>
    </x:row>
    <x:row r="2">
      <x:c r="A2" s="18" t="str">
        <x:v>Latitude et longitude sont prévues en WGS84. Les liens administratifs passent obligatoirement par un groupement.</x:v>
      </x:c>
      <x:c r="B2" s="18"/>
      <x:c r="C2" s="18"/>
      <x:c r="D2" s="18"/>
      <x:c r="E2" s="18"/>
      <x:c r="F2" s="18"/>
      <x:c r="G2" s="18"/>
      <x:c r="H2" s="18"/>
      <x:c r="I2" s="18"/>
      <x:c r="J2" s="18"/>
      <x:c r="K2" s="18"/>
      <x:c r="L2" s="18"/>
    </x:row>
    <x:row r="3">
      <x:c r="A3" s="26" t="str">
        <x:v>village_id</x:v>
      </x:c>
      <x:c r="B3" s="26" t="str">
        <x:v>groupement_id</x:v>
      </x:c>
      <x:c r="C3" s="26" t="str">
        <x:v>nom_village</x:v>
      </x:c>
      <x:c r="D3" s="26" t="str">
        <x:v>autre_nom</x:v>
      </x:c>
      <x:c r="E3" s="26" t="str">
        <x:v>categorie</x:v>
      </x:c>
      <x:c r="F3" s="26" t="str">
        <x:v>pcode</x:v>
      </x:c>
      <x:c r="G3" s="26" t="str">
        <x:v>code_ins</x:v>
      </x:c>
      <x:c r="H3" s="26" t="str">
        <x:v>latitude</x:v>
      </x:c>
      <x:c r="I3" s="26" t="str">
        <x:v>longitude</x:v>
      </x:c>
      <x:c r="J3" s="26" t="str">
        <x:v>source_id</x:v>
      </x:c>
      <x:c r="K3" s="26" t="str">
        <x:v>date_source</x:v>
      </x:c>
      <x:c r="L3" s="26" t="str">
        <x:v>statut_validation</x:v>
      </x:c>
    </x:row>
    <x:row r="4">
      <x:c r="A4" t="str"/>
      <x:c r="B4" t="str"/>
      <x:c r="C4" t="str"/>
      <x:c r="D4" t="str"/>
      <x:c r="E4" t="str"/>
      <x:c r="F4" t="str"/>
      <x:c r="G4" t="str"/>
      <x:c r="H4" t="str"/>
      <x:c r="I4" t="str"/>
      <x:c r="J4" t="str"/>
      <x:c r="K4" t="str"/>
      <x:c r="L4" t="str"/>
    </x:row>
  </x:sheetData>
  <x:mergeCells>
    <x:mergeCell ref="A1:L1"/>
    <x:mergeCell ref="A2:L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8" hidden="0" customWidth="1"/>
    <x:col min="3" max="3" width="35" hidden="0" customWidth="1"/>
    <x:col min="4" max="4" width="30" hidden="0" customWidth="1"/>
    <x:col min="5" max="5" width="55" hidden="0" customWidth="1"/>
    <x:col min="6" max="6" width="14" hidden="0" customWidth="1"/>
    <x:col min="7" max="7" width="20" hidden="0" customWidth="1"/>
  </x:cols>
  <x:sheetData>
    <x:row r="1" ht="28" customHeight="1">
      <x:c r="A1" s="4" t="str">
        <x:v>Groupes ethnolinguistiques — référentiel</x:v>
      </x:c>
      <x:c r="B1" s="4"/>
      <x:c r="C1" s="4"/>
      <x:c r="D1" s="4"/>
      <x:c r="E1" s="4"/>
      <x:c r="F1" s="4"/>
      <x:c r="G1" s="4"/>
    </x:row>
    <x:row r="2">
      <x:c r="A2" s="18" t="str">
        <x:v>Aucune attribution automatique à un secteur : les associations doivent être sourcées et peuvent être multiples.</x:v>
      </x:c>
      <x:c r="B2" s="18"/>
      <x:c r="C2" s="18"/>
      <x:c r="D2" s="18"/>
      <x:c r="E2" s="18"/>
      <x:c r="F2" s="18"/>
      <x:c r="G2" s="18"/>
    </x:row>
    <x:row r="3">
      <x:c r="A3" s="26" t="str">
        <x:v>groupe_id</x:v>
      </x:c>
      <x:c r="B3" s="26" t="str">
        <x:v>nom_groupe</x:v>
      </x:c>
      <x:c r="C3" s="26" t="str">
        <x:v>autres_noms</x:v>
      </x:c>
      <x:c r="D3" s="26" t="str">
        <x:v>classification</x:v>
      </x:c>
      <x:c r="E3" s="26" t="str">
        <x:v>note</x:v>
      </x:c>
      <x:c r="F3" s="26" t="str">
        <x:v>source_id</x:v>
      </x:c>
      <x:c r="G3" s="26" t="str">
        <x:v>statut_validation</x:v>
      </x:c>
    </x:row>
    <x:row r="4">
      <x:c r="A4" t="str"/>
      <x:c r="B4" t="str"/>
      <x:c r="C4" t="str"/>
      <x:c r="D4" t="str"/>
      <x:c r="E4" t="str"/>
      <x:c r="F4" t="str"/>
      <x:c r="G4" t="str"/>
    </x:row>
  </x:sheetData>
  <x:mergeCells>
    <x:mergeCell ref="A1:G1"/>
    <x:mergeCell ref="A2:G2"/>
  </x:mergeCell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16" hidden="0" customWidth="1"/>
    <x:col min="5" max="5" width="36" hidden="0" customWidth="1"/>
    <x:col min="6" max="6" width="14" hidden="0" customWidth="1"/>
    <x:col min="7" max="7" width="20" hidden="0" customWidth="1"/>
  </x:cols>
  <x:sheetData>
    <x:row r="1" ht="28" customHeight="1">
      <x:c r="A1" s="4" t="str">
        <x:v>Langues — référentiel normalisé</x:v>
      </x:c>
      <x:c r="B1" s="4"/>
      <x:c r="C1" s="4"/>
      <x:c r="D1" s="4"/>
      <x:c r="E1" s="4"/>
      <x:c r="F1" s="4"/>
      <x:c r="G1" s="4"/>
    </x:row>
    <x:row r="2">
      <x:c r="A2" s="18" t="str">
        <x:v>Prévu pour le nom de langue, ISO 639-3, Glottocode et variantes; à alimenter notamment avec CERDOTOLA et Glottolog.</x:v>
      </x:c>
      <x:c r="B2" s="18"/>
      <x:c r="C2" s="18"/>
      <x:c r="D2" s="18"/>
      <x:c r="E2" s="18"/>
      <x:c r="F2" s="18"/>
      <x:c r="G2" s="18"/>
    </x:row>
    <x:row r="3">
      <x:c r="A3" s="26" t="str">
        <x:v>langue_id</x:v>
      </x:c>
      <x:c r="B3" s="26" t="str">
        <x:v>nom_langue</x:v>
      </x:c>
      <x:c r="C3" s="26" t="str">
        <x:v>iso_639_3</x:v>
      </x:c>
      <x:c r="D3" s="26" t="str">
        <x:v>glottocode</x:v>
      </x:c>
      <x:c r="E3" s="26" t="str">
        <x:v>autres_noms</x:v>
      </x:c>
      <x:c r="F3" s="26" t="str">
        <x:v>source_id</x:v>
      </x:c>
      <x:c r="G3" s="26" t="str">
        <x:v>statut_validation</x:v>
      </x:c>
    </x:row>
    <x:row r="4">
      <x:c r="A4" t="str"/>
      <x:c r="B4" t="str"/>
      <x:c r="C4" t="str"/>
      <x:c r="D4" t="str"/>
      <x:c r="E4" t="str"/>
      <x:c r="F4" t="str"/>
      <x:c r="G4" t="str"/>
    </x:row>
  </x:sheetData>
  <x:mergeCells>
    <x:mergeCell ref="A1:G1"/>
    <x:mergeCell ref="A2:G2"/>
  </x:mergeCells>
  <x:pageMargins left="0.7" right="0.7" top="0.75" bottom="0.75" header="0.3" footer="0.3"/>
</x:worksheet>
</file>

<file path=xl/worksheets/sheet11.xml><?xml version="1.0" encoding="utf-8"?>
<x:worksheet xmlns:x="http://schemas.openxmlformats.org/spreadsheetml/2006/main">
  <x:sheetFormatPr defaultRowHeight="15"/>
  <x:cols>
    <x:col min="1" max="1" width="17" hidden="0" customWidth="1"/>
    <x:col min="2" max="2" width="20" hidden="0" customWidth="1"/>
    <x:col min="3" max="3" width="22" hidden="0" customWidth="1"/>
    <x:col min="4" max="4" width="16" hidden="0" customWidth="1"/>
    <x:col min="5" max="5" width="14" hidden="0" customWidth="1"/>
    <x:col min="6" max="6" width="12" hidden="0" customWidth="1"/>
    <x:col min="7" max="7" width="12" hidden="0" customWidth="1"/>
    <x:col min="8" max="8" width="22" hidden="0" customWidth="1"/>
    <x:col min="9" max="9" width="18" hidden="0" customWidth="1"/>
    <x:col min="10" max="10" width="14" hidden="0" customWidth="1"/>
    <x:col min="11" max="11" width="15" hidden="0" customWidth="1"/>
    <x:col min="12" max="12" width="55" hidden="0" customWidth="1"/>
  </x:cols>
  <x:sheetData>
    <x:row r="1" ht="28" customHeight="1">
      <x:c r="A1" s="4" t="str">
        <x:v>Implantations ethnolinguistiques — relations plusieurs-à-plusieurs</x:v>
      </x:c>
      <x:c r="B1" s="4"/>
      <x:c r="C1" s="4"/>
      <x:c r="D1" s="4"/>
      <x:c r="E1" s="4"/>
      <x:c r="F1" s="4"/>
      <x:c r="G1" s="4"/>
      <x:c r="H1" s="4"/>
      <x:c r="I1" s="4"/>
      <x:c r="J1" s="4"/>
      <x:c r="K1" s="4"/>
      <x:c r="L1" s="4"/>
    </x:row>
    <x:row r="2">
      <x:c r="A2" s="18" t="str">
        <x:v>Une relation vise exactement un niveau administratif (secteur/chefferie OU groupement OU village) et peut associer un groupe, une langue, ou les deux.</x:v>
      </x:c>
      <x:c r="B2" s="18"/>
      <x:c r="C2" s="18"/>
      <x:c r="D2" s="18"/>
      <x:c r="E2" s="18"/>
      <x:c r="F2" s="18"/>
      <x:c r="G2" s="18"/>
      <x:c r="H2" s="18"/>
      <x:c r="I2" s="18"/>
      <x:c r="J2" s="18"/>
      <x:c r="K2" s="18"/>
      <x:c r="L2" s="18"/>
    </x:row>
    <x:row r="3">
      <x:c r="A3" s="26" t="str">
        <x:v>implantation_id</x:v>
      </x:c>
      <x:c r="B3" s="26" t="str">
        <x:v>niveau</x:v>
      </x:c>
      <x:c r="C3" s="26" t="str">
        <x:v>secteur_chefferie_id</x:v>
      </x:c>
      <x:c r="D3" s="26" t="str">
        <x:v>groupement_id</x:v>
      </x:c>
      <x:c r="E3" s="26" t="str">
        <x:v>village_id</x:v>
      </x:c>
      <x:c r="F3" s="26" t="str">
        <x:v>groupe_id</x:v>
      </x:c>
      <x:c r="G3" s="26" t="str">
        <x:v>langue_id</x:v>
      </x:c>
      <x:c r="H3" s="26" t="str">
        <x:v>statut_presence</x:v>
      </x:c>
      <x:c r="I3" s="26" t="str">
        <x:v>niveau_confiance</x:v>
      </x:c>
      <x:c r="J3" s="26" t="str">
        <x:v>source_id</x:v>
      </x:c>
      <x:c r="K3" s="26" t="str">
        <x:v>annee_source</x:v>
      </x:c>
      <x:c r="L3" s="26" t="str">
        <x:v>commentaire</x:v>
      </x:c>
    </x:row>
    <x:row r="4">
      <x:c r="A4" t="str"/>
      <x:c r="B4" t="str"/>
      <x:c r="C4" t="str"/>
      <x:c r="D4" t="str"/>
      <x:c r="E4" t="str"/>
      <x:c r="F4" t="str"/>
      <x:c r="G4" t="str"/>
      <x:c r="H4" t="str"/>
      <x:c r="I4" t="str"/>
      <x:c r="J4" t="str"/>
      <x:c r="K4" t="str"/>
      <x:c r="L4" t="str"/>
    </x:row>
  </x:sheetData>
  <x:mergeCells>
    <x:mergeCell ref="A1:L1"/>
    <x:mergeCell ref="A2:L2"/>
  </x:mergeCells>
  <x:pageMargins left="0.7" right="0.7" top="0.75" bottom="0.75" header="0.3" footer="0.3"/>
</x:worksheet>
</file>

<file path=xl/worksheets/sheet12.xml><?xml version="1.0" encoding="utf-8"?>
<x:worksheet xmlns:x="http://schemas.openxmlformats.org/spreadsheetml/2006/main">
  <x:sheetFormatPr defaultRowHeight="15"/>
  <x:cols>
    <x:col min="1" max="1" width="15" hidden="0" customWidth="1"/>
    <x:col min="2" max="2" width="16" hidden="0" customWidth="1"/>
    <x:col min="3" max="3" width="22" hidden="0" customWidth="1"/>
    <x:col min="4" max="4" width="28" hidden="0" customWidth="1"/>
    <x:col min="5" max="5" width="24" hidden="0" customWidth="1"/>
    <x:col min="6" max="6" width="18" hidden="0" customWidth="1"/>
    <x:col min="7" max="7" width="22" hidden="0" customWidth="1"/>
    <x:col min="8" max="8" width="30" hidden="0" customWidth="1"/>
    <x:col min="9" max="9" width="28" hidden="0" customWidth="1"/>
    <x:col min="10" max="10" width="30" hidden="0" customWidth="1"/>
    <x:col min="11" max="11" width="14" hidden="0" customWidth="1"/>
    <x:col min="12" max="12" width="14" hidden="0" customWidth="1"/>
    <x:col min="13" max="13" width="12" hidden="0" customWidth="1"/>
    <x:col min="14" max="14" width="16" hidden="0" customWidth="1"/>
    <x:col min="15" max="15" width="18" hidden="0" customWidth="1"/>
  </x:cols>
  <x:sheetData>
    <x:row r="1" ht="28" customHeight="1">
      <x:c r="A1" s="4" t="str">
        <x:v>Staging — localités RGC</x:v>
      </x:c>
      <x:c r="B1" s="4"/>
      <x:c r="C1" s="4"/>
      <x:c r="D1" s="4"/>
      <x:c r="E1" s="4"/>
      <x:c r="F1" s="4"/>
      <x:c r="G1" s="4"/>
      <x:c r="H1" s="4"/>
      <x:c r="I1" s="4"/>
      <x:c r="J1" s="4"/>
      <x:c r="K1" s="4"/>
      <x:c r="L1" s="4"/>
      <x:c r="M1" s="4"/>
      <x:c r="N1" s="4"/>
      <x:c r="O1" s="4"/>
    </x:row>
    <x:row r="2">
      <x:c r="A2" s="18" t="str">
        <x:v>Zone d’atterrissage prévue pour importer sans perte les attributs de la couche RGC avant normalisation vers groupements/villages.</x:v>
      </x:c>
      <x:c r="B2" s="18"/>
      <x:c r="C2" s="18"/>
      <x:c r="D2" s="18"/>
      <x:c r="E2" s="18"/>
      <x:c r="F2" s="18"/>
      <x:c r="G2" s="18"/>
      <x:c r="H2" s="18"/>
      <x:c r="I2" s="18"/>
      <x:c r="J2" s="18"/>
      <x:c r="K2" s="18"/>
      <x:c r="L2" s="18"/>
      <x:c r="M2" s="18"/>
      <x:c r="N2" s="18"/>
      <x:c r="O2" s="18"/>
    </x:row>
    <x:row r="3">
      <x:c r="A3" s="26" t="str">
        <x:v>pcode</x:v>
      </x:c>
      <x:c r="B3" s="26" t="str">
        <x:v>id_objet_ins</x:v>
      </x:c>
      <x:c r="C3" s="26" t="str">
        <x:v>id_niveau_admin_ins</x:v>
      </x:c>
      <x:c r="D3" s="26" t="str">
        <x:v>nom_usuel</x:v>
      </x:c>
      <x:c r="E3" s="26" t="str">
        <x:v>autre_nom</x:v>
      </x:c>
      <x:c r="F3" s="26" t="str">
        <x:v>categorie</x:v>
      </x:c>
      <x:c r="G3" s="26" t="str">
        <x:v>territoire</x:v>
      </x:c>
      <x:c r="H3" s="26" t="str">
        <x:v>secteur_ou_chefferie</x:v>
      </x:c>
      <x:c r="I3" s="26" t="str">
        <x:v>groupement</x:v>
      </x:c>
      <x:c r="J3" s="26" t="str">
        <x:v>code_administratif_groupement</x:v>
      </x:c>
      <x:c r="K3" s="26" t="str">
        <x:v>longitude</x:v>
      </x:c>
      <x:c r="L3" s="26" t="str">
        <x:v>latitude</x:v>
      </x:c>
      <x:c r="M3" s="26" t="str">
        <x:v>source_id</x:v>
      </x:c>
      <x:c r="N3" s="26" t="str">
        <x:v>date_source</x:v>
      </x:c>
      <x:c r="O3" s="26" t="str">
        <x:v>statut_etl</x:v>
      </x:c>
    </x:row>
    <x:row r="4">
      <x:c r="A4" t="str"/>
      <x:c r="B4" t="str"/>
      <x:c r="C4" t="str"/>
      <x:c r="D4" t="str"/>
      <x:c r="E4" t="str"/>
      <x:c r="F4" t="str"/>
      <x:c r="G4" t="str"/>
      <x:c r="H4" t="str"/>
      <x:c r="I4" t="str"/>
      <x:c r="J4" t="str"/>
      <x:c r="K4" t="str"/>
      <x:c r="L4" t="str"/>
      <x:c r="M4" t="str"/>
      <x:c r="N4" t="str"/>
      <x:c r="O4" t="str"/>
    </x:row>
  </x:sheetData>
  <x:mergeCells>
    <x:mergeCell ref="A1:O1"/>
    <x:mergeCell ref="A2:O2"/>
  </x:mergeCell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6" hidden="0" customWidth="1"/>
    <x:col min="3" max="3" width="28" hidden="0" customWidth="1"/>
    <x:col min="4" max="4" width="58" hidden="0" customWidth="1"/>
    <x:col min="5" max="5" width="70" hidden="0" customWidth="1"/>
    <x:col min="6" max="6" width="18" hidden="0" customWidth="1"/>
    <x:col min="7" max="7" width="58" hidden="0" customWidth="1"/>
  </x:cols>
  <x:sheetData>
    <x:row r="1" ht="28" customHeight="1">
      <x:c r="A1" s="50" t="str">
        <x:v>Sources et traçabilité</x:v>
      </x:c>
      <x:c r="B1" s="50"/>
      <x:c r="C1" s="50"/>
      <x:c r="D1" s="50"/>
      <x:c r="E1" s="50"/>
      <x:c r="F1" s="50"/>
      <x:c r="G1" s="50"/>
      <x:c r="H1" s="14"/>
      <x:c r="I1" s="14"/>
      <x:c r="J1" s="14"/>
      <x:c r="K1" s="14"/>
      <x:c r="L1" s="14"/>
      <x:c r="M1" s="14"/>
      <x:c r="N1" s="14"/>
      <x:c r="O1" s="14"/>
      <x:c r="P1" s="14"/>
      <x:c r="Q1" s="14"/>
      <x:c r="R1" s="14"/>
      <x:c r="S1" s="14"/>
      <x:c r="T1" s="14"/>
      <x:c r="U1" s="14"/>
      <x:c r="V1" s="14"/>
      <x:c r="W1" s="14"/>
      <x:c r="X1" s="14"/>
      <x:c r="Y1" s="14"/>
      <x:c r="Z1" s="14"/>
    </x:row>
    <x:row r="2">
      <x:c r="A2" s="18" t="str">
        <x:v>Chaque jeu de données importé dans la base doit conserver un identifiant de source et une date/version.</x:v>
      </x:c>
      <x:c r="B2" s="18"/>
      <x:c r="C2" s="18"/>
      <x:c r="D2" s="18"/>
      <x:c r="E2" s="18"/>
      <x:c r="F2" s="18"/>
      <x:c r="G2" s="18"/>
      <x:c r="H2" s="14"/>
      <x:c r="I2" s="14"/>
      <x:c r="J2" s="14"/>
      <x:c r="K2" s="14"/>
      <x:c r="L2" s="14"/>
      <x:c r="M2" s="14"/>
      <x:c r="N2" s="14"/>
      <x:c r="O2" s="14"/>
      <x:c r="P2" s="14"/>
      <x:c r="Q2" s="14"/>
      <x:c r="R2" s="14"/>
      <x:c r="S2" s="14"/>
      <x:c r="T2" s="14"/>
      <x:c r="U2" s="14"/>
      <x:c r="V2" s="14"/>
      <x:c r="W2" s="14"/>
      <x:c r="X2" s="14"/>
      <x:c r="Y2" s="14"/>
      <x:c r="Z2" s="14"/>
    </x:row>
    <x:row r="3">
      <x:c r="A3" s="26" t="str">
        <x:v>source_id</x:v>
      </x:c>
      <x:c r="B3" s="26" t="str">
        <x:v>nom_source</x:v>
      </x:c>
      <x:c r="C3" s="26" t="str">
        <x:v>type_source</x:v>
      </x:c>
      <x:c r="D3" s="26" t="str">
        <x:v>usage_prevu</x:v>
      </x:c>
      <x:c r="E3" s="26" t="str">
        <x:v>url</x:v>
      </x:c>
      <x:c r="F3" s="26" t="str">
        <x:v>date_consultation</x:v>
      </x:c>
      <x:c r="G3" s="26" t="str">
        <x:v>notes</x:v>
      </x:c>
      <x:c r="H3" s="14"/>
      <x:c r="I3" s="14"/>
      <x:c r="J3" s="14"/>
      <x:c r="K3" s="14"/>
      <x:c r="L3" s="14"/>
      <x:c r="M3" s="14"/>
      <x:c r="N3" s="14"/>
      <x:c r="O3" s="14"/>
      <x:c r="P3" s="14"/>
      <x:c r="Q3" s="14"/>
      <x:c r="R3" s="14"/>
      <x:c r="S3" s="14"/>
      <x:c r="T3" s="14"/>
      <x:c r="U3" s="14"/>
      <x:c r="V3" s="14"/>
      <x:c r="W3" s="14"/>
      <x:c r="X3" s="14"/>
      <x:c r="Y3" s="14"/>
      <x:c r="Z3" s="14"/>
    </x:row>
    <x:row r="4">
      <x:c r="A4" s="14" t="str">
        <x:v>S01</x:v>
      </x:c>
      <x:c r="B4" s="14" t="str">
        <x:v>Ministère de l’Intérieur RDC – Provinces / territoires</x:v>
      </x:c>
      <x:c r="C4" s="14" t="str">
        <x:v>Institutionnelle</x:v>
      </x:c>
      <x:c r="D4" s="14" t="str">
        <x:v>Liste des 26 provinces et chefs-lieux</x:v>
      </x:c>
      <x:c r="E4" s="14" t="str">
        <x:v>https://interieur.gouv.cd/ministere/territoires</x:v>
      </x:c>
      <x:c r="F4" s="14" t="str">
        <x:v>2026-09-13</x:v>
      </x:c>
      <x:c r="G4" s="14" t="str">
        <x:v>Référence principale pour provinces/chefs-lieux</x:v>
      </x:c>
      <x:c r="H4" s="14"/>
      <x:c r="I4" s="14"/>
      <x:c r="J4" s="14"/>
      <x:c r="K4" s="14"/>
      <x:c r="L4" s="14"/>
      <x:c r="M4" s="14"/>
      <x:c r="N4" s="14"/>
      <x:c r="O4" s="14"/>
      <x:c r="P4" s="14"/>
      <x:c r="Q4" s="14"/>
      <x:c r="R4" s="14"/>
      <x:c r="S4" s="14"/>
      <x:c r="T4" s="14"/>
      <x:c r="U4" s="14"/>
      <x:c r="V4" s="14"/>
      <x:c r="W4" s="14"/>
      <x:c r="X4" s="14"/>
      <x:c r="Y4" s="14"/>
      <x:c r="Z4" s="14"/>
    </x:row>
    <x:row r="5">
      <x:c r="A5" s="14" t="str">
        <x:v>S02</x:v>
      </x:c>
      <x:c r="B5" s="14" t="str">
        <x:v>Référentiel Géographique Commun (RGC) – Données administratives</x:v>
      </x:c>
      <x:c r="C5" s="14" t="str">
        <x:v>Institutionnelle / géospatiale</x:v>
      </x:c>
      <x:c r="D5" s="14" t="str">
        <x:v>Schémas et couches provinces, territoires, collectivités, groupements, localités; coordonnées WGS84</x:v>
      </x:c>
      <x:c r="E5" s="14" t="str">
        <x:v>https://www.rgc.cd/index.php?Itemid=183&amp;id=41&amp;option=com_content&amp;view=category</x:v>
      </x:c>
      <x:c r="F5" s="14" t="str">
        <x:v>2026-09-13</x:v>
      </x:c>
      <x:c r="G5" s="14" t="str">
        <x:v>Localités et groupements annoncés; couche historique 2010/2015</x:v>
      </x:c>
      <x:c r="H5" s="14"/>
      <x:c r="I5" s="14"/>
      <x:c r="J5" s="14"/>
      <x:c r="K5" s="14"/>
      <x:c r="L5" s="14"/>
      <x:c r="M5" s="14"/>
      <x:c r="N5" s="14"/>
      <x:c r="O5" s="14"/>
      <x:c r="P5" s="14"/>
      <x:c r="Q5" s="14"/>
      <x:c r="R5" s="14"/>
      <x:c r="S5" s="14"/>
      <x:c r="T5" s="14"/>
      <x:c r="U5" s="14"/>
      <x:c r="V5" s="14"/>
      <x:c r="W5" s="14"/>
      <x:c r="X5" s="14"/>
      <x:c r="Y5" s="14"/>
      <x:c r="Z5" s="14"/>
    </x:row>
    <x:row r="6">
      <x:c r="A6" s="14" t="str">
        <x:v>S03</x:v>
      </x:c>
      <x:c r="B6" s="14" t="str">
        <x:v>Tableau synoptique des entités territoriales – SG Décentralisation (via AWA)</x:v>
      </x:c>
      <x:c r="C6" s="14" t="str">
        <x:v>Administrative</x:v>
      </x:c>
      <x:c r="D6" s="14" t="str">
        <x:v>Comptages des territoires, secteurs et chefferies par province</x:v>
      </x:c>
      <x:c r="E6" s="14" t="str">
        <x:v>https://www.awa-afrika.com/veillejuridique/TableauSynoptiqueDesEntitesTerritoriales.pdf</x:v>
      </x:c>
      <x:c r="F6" s="14" t="str">
        <x:v>2026-09-13</x:v>
      </x:c>
      <x:c r="G6" s="14" t="str">
        <x:v>Le tableau présente une incohérence de ventilation secteurs/chefferies; total ETD inchangé</x:v>
      </x:c>
      <x:c r="H6" s="14"/>
      <x:c r="I6" s="14"/>
      <x:c r="J6" s="14"/>
      <x:c r="K6" s="14"/>
      <x:c r="L6" s="14"/>
      <x:c r="M6" s="14"/>
      <x:c r="N6" s="14"/>
      <x:c r="O6" s="14"/>
      <x:c r="P6" s="14"/>
      <x:c r="Q6" s="14"/>
      <x:c r="R6" s="14"/>
      <x:c r="S6" s="14"/>
      <x:c r="T6" s="14"/>
      <x:c r="U6" s="14"/>
      <x:c r="V6" s="14"/>
      <x:c r="W6" s="14"/>
      <x:c r="X6" s="14"/>
      <x:c r="Y6" s="14"/>
      <x:c r="Z6" s="14"/>
    </x:row>
    <x:row r="7">
      <x:c r="A7" s="14" t="str">
        <x:v>S04</x:v>
      </x:c>
      <x:c r="B7" s="14" t="str">
        <x:v>Humanitarian Atlas – RDC</x:v>
      </x:c>
      <x:c r="C7" s="14" t="str">
        <x:v>Humanitaire / géospatial</x:v>
      </x:c>
      <x:c r="D7" s="14" t="str">
        <x:v>Convention de PCodes et 145 territoires</x:v>
      </x:c>
      <x:c r="E7" s="14" t="str">
        <x:v>https://www.humanitarianatlas.org/rdc/</x:v>
      </x:c>
      <x:c r="F7" s="14" t="str">
        <x:v>2026-09-13</x:v>
      </x:c>
      <x:c r="G7" s="14" t="str">
        <x:v>À utiliser pour validation croisée des PCodes</x:v>
      </x:c>
      <x:c r="H7" s="14"/>
      <x:c r="I7" s="14"/>
      <x:c r="J7" s="14"/>
      <x:c r="K7" s="14"/>
      <x:c r="L7" s="14"/>
      <x:c r="M7" s="14"/>
      <x:c r="N7" s="14"/>
      <x:c r="O7" s="14"/>
      <x:c r="P7" s="14"/>
      <x:c r="Q7" s="14"/>
      <x:c r="R7" s="14"/>
      <x:c r="S7" s="14"/>
      <x:c r="T7" s="14"/>
      <x:c r="U7" s="14"/>
      <x:c r="V7" s="14"/>
      <x:c r="W7" s="14"/>
      <x:c r="X7" s="14"/>
      <x:c r="Y7" s="14"/>
      <x:c r="Z7" s="14"/>
    </x:row>
    <x:row r="8">
      <x:c r="A8" s="14" t="str">
        <x:v>S05</x:v>
      </x:c>
      <x:c r="B8" s="14" t="str">
        <x:v>Liste des territoires de la RDC – Wikipédia FR</x:v>
      </x:c>
      <x:c r="C8" s="14" t="str">
        <x:v>Source secondaire</x:v>
      </x:c>
      <x:c r="D8" s="14" t="str">
        <x:v>PCodes bruts de travail pour les 145 territoires</x:v>
      </x:c>
      <x:c r="E8" s="14" t="str">
        <x:v>https://fr.wikipedia.org/wiki/Territoire_(r%C3%A9publique_d%C3%A9mocratique_du_Congo)</x:v>
      </x:c>
      <x:c r="F8" s="14" t="str">
        <x:v>2026-09-13</x:v>
      </x:c>
      <x:c r="G8" s="14" t="str">
        <x:v>Tous les PCodes de cette source sont marqués À VALIDER avant usage officiel</x:v>
      </x:c>
      <x:c r="H8" s="14"/>
      <x:c r="I8" s="14"/>
      <x:c r="J8" s="14"/>
      <x:c r="K8" s="14"/>
      <x:c r="L8" s="14"/>
      <x:c r="M8" s="14"/>
      <x:c r="N8" s="14"/>
      <x:c r="O8" s="14"/>
      <x:c r="P8" s="14"/>
      <x:c r="Q8" s="14"/>
      <x:c r="R8" s="14"/>
      <x:c r="S8" s="14"/>
      <x:c r="T8" s="14"/>
      <x:c r="U8" s="14"/>
      <x:c r="V8" s="14"/>
      <x:c r="W8" s="14"/>
      <x:c r="X8" s="14"/>
      <x:c r="Y8" s="14"/>
      <x:c r="Z8" s="14"/>
    </x:row>
    <x:row r="9">
      <x:c r="A9" s="14" t="str">
        <x:v>S06</x:v>
      </x:c>
      <x:c r="B9" s="14" t="str">
        <x:v>Chiefdoms and sectors of the DRC – Wikipédia EN</x:v>
      </x:c>
      <x:c r="C9" s="14" t="str">
        <x:v>Source secondaire / CENI 2018 citée</x:v>
      </x:c>
      <x:c r="D9" s="14" t="str">
        <x:v>Nomenclature historique des secteurs et chefferies; total 734 en 2018</x:v>
      </x:c>
      <x:c r="E9" s="14" t="str">
        <x:v>https://en.wikipedia.org/wiki/Chiefdoms_and_sectors_of_the_Democratic_Republic_of_the_Congo</x:v>
      </x:c>
      <x:c r="F9" s="14" t="str">
        <x:v>2026-09-13</x:v>
      </x:c>
      <x:c r="G9" s="14" t="str">
        <x:v>Table 2018 transcrite intégralement : 734 entités = 469 secteurs + 265 chefferies. Source secondaire citant la CENI; chaque ligne reste À VALIDER avec une source administrative récente.</x:v>
      </x:c>
      <x:c r="H9" s="14"/>
      <x:c r="I9" s="14"/>
      <x:c r="J9" s="14"/>
      <x:c r="K9" s="14"/>
      <x:c r="L9" s="14"/>
      <x:c r="M9" s="14"/>
      <x:c r="N9" s="14"/>
      <x:c r="O9" s="14"/>
      <x:c r="P9" s="14"/>
      <x:c r="Q9" s="14"/>
      <x:c r="R9" s="14"/>
      <x:c r="S9" s="14"/>
      <x:c r="T9" s="14"/>
      <x:c r="U9" s="14"/>
      <x:c r="V9" s="14"/>
      <x:c r="W9" s="14"/>
      <x:c r="X9" s="14"/>
      <x:c r="Y9" s="14"/>
      <x:c r="Z9" s="14"/>
    </x:row>
    <x:row r="10">
      <x:c r="A10" s="14" t="str">
        <x:v>S07</x:v>
      </x:c>
      <x:c r="B10" s="14" t="str">
        <x:v>CERDOTOLA – Atlas linguistique de la RDC</x:v>
      </x:c>
      <x:c r="C10" s="14" t="str">
        <x:v>Scientifique / linguistique</x:v>
      </x:c>
      <x:c r="D10" s="14" t="str">
        <x:v>Référence pour inventaire et localisation des langues</x:v>
      </x:c>
      <x:c r="E10" s="14" t="str">
        <x:v>https://cerdotola.org/2014/12/05/atlas-linguistique-de-la-rdc/1527</x:v>
      </x:c>
      <x:c r="F10" s="14" t="str">
        <x:v>2026-09-13</x:v>
      </x:c>
      <x:c r="G10" s="14" t="str">
        <x:v>À utiliser pour alimenter la couche linguistique sans inférences</x:v>
      </x:c>
      <x:c r="H10" s="14"/>
      <x:c r="I10" s="14"/>
      <x:c r="J10" s="14"/>
      <x:c r="K10" s="14"/>
      <x:c r="L10" s="14"/>
      <x:c r="M10" s="14"/>
      <x:c r="N10" s="14"/>
      <x:c r="O10" s="14"/>
      <x:c r="P10" s="14"/>
      <x:c r="Q10" s="14"/>
      <x:c r="R10" s="14"/>
      <x:c r="S10" s="14"/>
      <x:c r="T10" s="14"/>
      <x:c r="U10" s="14"/>
      <x:c r="V10" s="14"/>
      <x:c r="W10" s="14"/>
      <x:c r="X10" s="14"/>
      <x:c r="Y10" s="14"/>
      <x:c r="Z10" s="14"/>
    </x:row>
    <x:row r="11">
      <x:c r="A11" s="14" t="str">
        <x:v>S08</x:v>
      </x:c>
      <x:c r="B11" s="14" t="str">
        <x:v>Glottolog – Languages of DR Congo</x:v>
      </x:c>
      <x:c r="C11" s="14" t="str">
        <x:v>Scientifique / linguistique</x:v>
      </x:c>
      <x:c r="D11" s="14" t="str">
        <x:v>Identifiants linguistiques, glottocodes et cartographie des langues</x:v>
      </x:c>
      <x:c r="E11" s="14" t="str">
        <x:v>https://glottolog.org/glottolog/language.map.html?country=CD</x:v>
      </x:c>
      <x:c r="F11" s="14" t="str">
        <x:v>2026-09-13</x:v>
      </x:c>
      <x:c r="G11" s="14" t="str">
        <x:v>Référence complémentaire pour normalisation des langues</x:v>
      </x:c>
      <x:c r="H11" s="14"/>
      <x:c r="I11" s="14"/>
      <x:c r="J11" s="14"/>
      <x:c r="K11" s="14"/>
      <x:c r="L11" s="14"/>
      <x:c r="M11" s="14"/>
      <x:c r="N11" s="14"/>
      <x:c r="O11" s="14"/>
      <x:c r="P11" s="14"/>
      <x:c r="Q11" s="14"/>
      <x:c r="R11" s="14"/>
      <x:c r="S11" s="14"/>
      <x:c r="T11" s="14"/>
      <x:c r="U11" s="14"/>
      <x:c r="V11" s="14"/>
      <x:c r="W11" s="14"/>
      <x:c r="X11" s="14"/>
      <x:c r="Y11" s="14"/>
      <x:c r="Z11" s="14"/>
    </x:row>
    <x:row r="12">
      <x:c r="A12" s="14" t="str">
        <x:v>S09</x:v>
      </x:c>
      <x:c r="B12" s="14" t="str">
        <x:v>RGPH RDC – laboratoire cartographie</x:v>
      </x:c>
      <x:c r="C12" s="14" t="str">
        <x:v>Institutionnelle</x:v>
      </x:c>
      <x:c r="D12" s="14" t="str">
        <x:v>Mention de points géographiques d’environ 80 000 villages et de la DPA codifiée</x:v>
      </x:c>
      <x:c r="E12" s="14" t="str">
        <x:v>https://www.rgph-rdc.org/web/content/984?download=true&amp;unique=16eeb380d7819b5ec8f6c888afb162d142cba8d2</x:v>
      </x:c>
      <x:c r="F12" s="14" t="str">
        <x:v>2026-09-13</x:v>
      </x:c>
      <x:c r="G12" s="14" t="str">
        <x:v>Candidat prioritaire pour mise à jour/validation des villages</x:v>
      </x:c>
      <x:c r="H12" s="14"/>
      <x:c r="I12" s="14"/>
      <x:c r="J12" s="14"/>
      <x:c r="K12" s="14"/>
      <x:c r="L12" s="14"/>
      <x:c r="M12" s="14"/>
      <x:c r="N12" s="14"/>
      <x:c r="O12" s="14"/>
      <x:c r="P12" s="14"/>
      <x:c r="Q12" s="14"/>
      <x:c r="R12" s="14"/>
      <x:c r="S12" s="14"/>
      <x:c r="T12" s="14"/>
      <x:c r="U12" s="14"/>
      <x:c r="V12" s="14"/>
      <x:c r="W12" s="14"/>
      <x:c r="X12" s="14"/>
      <x:c r="Y12" s="14"/>
      <x:c r="Z12" s="14"/>
    </x:row>
    <x:row r="13">
      <x:c r="A13" s="14" t="str">
        <x:v>S10</x:v>
      </x:c>
      <x:c r="B13" s="14" t="str">
        <x:v>UN SALB – RDC</x:v>
      </x:c>
      <x:c r="C13" s="14" t="str">
        <x:v>ONU / géospatial</x:v>
      </x:c>
      <x:c r="D13" s="14" t="str">
        <x:v>Unités administratives validées; validité indiquée jusqu’à mise à jour 2024-06-13</x:v>
      </x:c>
      <x:c r="E13" s="14" t="str">
        <x:v>https://salb.un.org/en/data/cod</x:v>
      </x:c>
      <x:c r="F13" s="14" t="str">
        <x:v>2026-09-13</x:v>
      </x:c>
      <x:c r="G13" s="14" t="str">
        <x:v>Référence de validation des niveaux administratifs disponibles</x:v>
      </x:c>
      <x:c r="H13" s="14"/>
      <x:c r="I13" s="14"/>
      <x:c r="J13" s="14"/>
      <x:c r="K13" s="14"/>
      <x:c r="L13" s="14"/>
      <x:c r="M13" s="14"/>
      <x:c r="N13" s="14"/>
      <x:c r="O13" s="14"/>
      <x:c r="P13" s="14"/>
      <x:c r="Q13" s="14"/>
      <x:c r="R13" s="14"/>
      <x:c r="S13" s="14"/>
      <x:c r="T13" s="14"/>
      <x:c r="U13" s="14"/>
      <x:c r="V13" s="14"/>
      <x:c r="W13" s="14"/>
      <x:c r="X13" s="14"/>
      <x:c r="Y13" s="14"/>
      <x:c r="Z13" s="14"/>
    </x:row>
    <x:row r="14">
      <x:c r="A14" s="14" t="str">
        <x:v>S11</x:v>
      </x:c>
      <x:c r="B14" s="14" t="str">
        <x:v>GRID3 COD – Settlement Names v9.0</x:v>
      </x:c>
      <x:c r="C14" s="14" t="str">
        <x:v>Géospatial / opérationnel</x:v>
      </x:c>
      <x:c r="D14" s="14" t="str">
        <x:v>Enrichissement récent des localités : noms, types et coordonnées en staging</x:v>
      </x:c>
      <x:c r="E14" s="14" t="str">
        <x:v>https://services3.arcgis.com/BU6Aadhn6tbBEdyk/ArcGIS/rest/services/GRID3_COD_settlement_names_v9_0/FeatureServer/0</x:v>
      </x:c>
      <x:c r="F14" s="14" t="str">
        <x:v>2026-09-13</x:v>
      </x:c>
      <x:c r="G14" s="14" t="str">
        <x:v>Version v9.0 (août 2026), DOI 10.7916/77t0-h465. Le service ArcGIS annonce 128 236 points de peuplement. Donnée opérationnelle : ces points ne doivent pas être assimilés automatiquement à 128 236 villages administratifs.</x:v>
      </x:c>
      <x:c r="H14" s="14"/>
      <x:c r="I14" s="14"/>
      <x:c r="J14" s="14"/>
      <x:c r="K14" s="14"/>
      <x:c r="L14" s="14"/>
      <x:c r="M14" s="14"/>
      <x:c r="N14" s="14"/>
      <x:c r="O14" s="14"/>
      <x:c r="P14" s="14"/>
      <x:c r="Q14" s="14"/>
      <x:c r="R14" s="14"/>
      <x:c r="S14" s="14"/>
      <x:c r="T14" s="14"/>
      <x:c r="U14" s="14"/>
      <x:c r="V14" s="14"/>
      <x:c r="W14" s="14"/>
      <x:c r="X14" s="14"/>
      <x:c r="Y14" s="14"/>
      <x:c r="Z14" s="14"/>
    </x:row>
    <x:row r="15">
      <x:c r="A15" s="14" t="str">
        <x:v>S12</x:v>
      </x:c>
      <x:c r="B15" s="14" t="str">
        <x:v>SG Décentralisation – Nomenclature ETD RDC, 24 juillet 2025 (copie consultable)</x:v>
      </x:c>
      <x:c r="C15" s="14" t="str">
        <x:v>Administrative / miroir secondaire</x:v>
      </x:c>
      <x:c r="D15" s="14" t="str">
        <x:v>Contrôle des agrégats secteurs/chefferies 2025 par province</x:v>
      </x:c>
      <x:c r="E15" s="14" t="str">
        <x:v>https://fr.scribd.com/document/993301488/NOMENCLATURE-ETD-RDC-FIN-24-JUILLET-2025-dernie-re-version</x:v>
      </x:c>
      <x:c r="F15" s="14" t="str">
        <x:v>2026-09-13</x:v>
      </x:c>
      <x:c r="G15" s="14" t="str">
        <x:v>Copie portant l’en-tête du Secrétariat général. Agrégat relevé : 471 secteurs + 263 chefferies = 734. À rapprocher de l’original officiel avant certification.</x:v>
      </x:c>
      <x:c r="H15" s="14"/>
      <x:c r="I15" s="14"/>
      <x:c r="J15" s="14"/>
      <x:c r="K15" s="14"/>
      <x:c r="L15" s="14"/>
      <x:c r="M15" s="14"/>
      <x:c r="N15" s="14"/>
      <x:c r="O15" s="14"/>
      <x:c r="P15" s="14"/>
      <x:c r="Q15" s="14"/>
      <x:c r="R15" s="14"/>
      <x:c r="S15" s="14"/>
      <x:c r="T15" s="14"/>
      <x:c r="U15" s="14"/>
      <x:c r="V15" s="14"/>
      <x:c r="W15" s="14"/>
      <x:c r="X15" s="14"/>
      <x:c r="Y15" s="14"/>
      <x:c r="Z15" s="14"/>
    </x:row>
    <x:row r="16">
      <x:c r="A16" s="14" t="str">
        <x:v>S13</x:v>
      </x:c>
      <x:c r="B16" s="14" t="str">
        <x:v>CENI — Rapport général 2012–2019, tableau n°3 : statistiques des entités territoriales</x:v>
      </x:c>
      <x:c r="C16" s="14" t="str">
        <x:v>Institutionnelle / électorale / cartographique</x:v>
      </x:c>
      <x:c r="D16" s="14" t="str">
        <x:v>Référence de contrôle des groupements et villages; description de la nomenclature stabilisée et géolocalisation GPS</x:v>
      </x:c>
      <x:c r="E16" s="14" t="str">
        <x:v>https://fr.scribd.com/document/793335791/Rapport-ge-ne-ral-version-finale</x:v>
      </x:c>
      <x:c r="F16" s="14" t="str">
        <x:v>2026-09-13</x:v>
      </x:c>
      <x:c r="G16" s="14" t="str">
        <x:v>Tableau n°3 : 5 910 groupements et 87 710 villages. À utiliser comme millésime historique de contrôle, pas comme certification automatique de l’état 2026.</x:v>
      </x:c>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G1"/>
    <x:mergeCell ref="A2:G2"/>
  </x:mergeCells>
  <x:pageMargins left="0.7" right="0.7" top="0.75" bottom="0.75" header="0.3" footer="0.3"/>
  <x:tableParts count="1">
    <x:tablePart xmlns:r="http://schemas.openxmlformats.org/officeDocument/2006/relationships" r:id="Ra2790983819f4e89"/>
  </x:tableParts>
</x:worksheet>
</file>

<file path=xl/worksheets/sheet14.xml><?xml version="1.0" encoding="utf-8"?>
<x:worksheet xmlns:x="http://schemas.openxmlformats.org/spreadsheetml/2006/main">
  <x:sheetFormatPr defaultRowHeight="15"/>
  <x:cols>
    <x:col min="1" max="1" width="12" hidden="0" customWidth="1"/>
    <x:col min="2" max="2" width="20" hidden="0" customWidth="1"/>
    <x:col min="3" max="3" width="26" hidden="0" customWidth="1"/>
    <x:col min="4" max="4" width="75" hidden="0" customWidth="1"/>
    <x:col min="5" max="5" width="14" hidden="0" customWidth="1"/>
    <x:col min="6" max="6" width="65" hidden="0" customWidth="1"/>
    <x:col min="7" max="7" width="14" hidden="0" customWidth="1"/>
    <x:col min="8" max="8" width="18" hidden="0" customWidth="1"/>
  </x:cols>
  <x:sheetData>
    <x:row r="1" ht="28" customHeight="1">
      <x:c r="A1" s="50" t="str">
        <x:v>Registre de qualité des données</x:v>
      </x:c>
      <x:c r="B1" s="50"/>
      <x:c r="C1" s="50"/>
      <x:c r="D1" s="50"/>
      <x:c r="E1" s="50"/>
      <x:c r="F1" s="50"/>
      <x:c r="G1" s="50"/>
      <x:c r="H1" s="50"/>
      <x:c r="I1" s="14"/>
      <x:c r="J1" s="14"/>
      <x:c r="K1" s="14"/>
      <x:c r="L1" s="14"/>
      <x:c r="M1" s="14"/>
      <x:c r="N1" s="14"/>
      <x:c r="O1" s="14"/>
      <x:c r="P1" s="14"/>
      <x:c r="Q1" s="14"/>
      <x:c r="R1" s="14"/>
      <x:c r="S1" s="14"/>
      <x:c r="T1" s="14"/>
      <x:c r="U1" s="14"/>
      <x:c r="V1" s="14"/>
      <x:c r="W1" s="14"/>
      <x:c r="X1" s="14"/>
      <x:c r="Y1" s="14"/>
      <x:c r="Z1" s="14"/>
    </x:row>
    <x:row r="2">
      <x:c r="A2" s="18" t="str">
        <x:v>Les anomalies connues sont conservées au lieu d’être corrigées silencieusement.</x:v>
      </x:c>
      <x:c r="B2" s="18"/>
      <x:c r="C2" s="18"/>
      <x:c r="D2" s="18"/>
      <x:c r="E2" s="18"/>
      <x:c r="F2" s="18"/>
      <x:c r="G2" s="18"/>
      <x:c r="H2" s="18"/>
      <x:c r="I2" s="14"/>
      <x:c r="J2" s="14"/>
      <x:c r="K2" s="14"/>
      <x:c r="L2" s="14"/>
      <x:c r="M2" s="14"/>
      <x:c r="N2" s="14"/>
      <x:c r="O2" s="14"/>
      <x:c r="P2" s="14"/>
      <x:c r="Q2" s="14"/>
      <x:c r="R2" s="14"/>
      <x:c r="S2" s="14"/>
      <x:c r="T2" s="14"/>
      <x:c r="U2" s="14"/>
      <x:c r="V2" s="14"/>
      <x:c r="W2" s="14"/>
      <x:c r="X2" s="14"/>
      <x:c r="Y2" s="14"/>
      <x:c r="Z2" s="14"/>
    </x:row>
    <x:row r="3">
      <x:c r="A3" s="26" t="str">
        <x:v>qa_id</x:v>
      </x:c>
      <x:c r="B3" s="26" t="str">
        <x:v>categorie</x:v>
      </x:c>
      <x:c r="C3" s="26" t="str">
        <x:v>portee</x:v>
      </x:c>
      <x:c r="D3" s="26" t="str">
        <x:v>probleme</x:v>
      </x:c>
      <x:c r="E3" s="26" t="str">
        <x:v>severite</x:v>
      </x:c>
      <x:c r="F3" s="26" t="str">
        <x:v>action_recommandee</x:v>
      </x:c>
      <x:c r="G3" s="26" t="str">
        <x:v>statut</x:v>
      </x:c>
      <x:c r="H3" s="26" t="str">
        <x:v>sources</x:v>
      </x:c>
      <x:c r="I3" s="14"/>
      <x:c r="J3" s="14"/>
      <x:c r="K3" s="14"/>
      <x:c r="L3" s="14"/>
      <x:c r="M3" s="14"/>
      <x:c r="N3" s="14"/>
      <x:c r="O3" s="14"/>
      <x:c r="P3" s="14"/>
      <x:c r="Q3" s="14"/>
      <x:c r="R3" s="14"/>
      <x:c r="S3" s="14"/>
      <x:c r="T3" s="14"/>
      <x:c r="U3" s="14"/>
      <x:c r="V3" s="14"/>
      <x:c r="W3" s="14"/>
      <x:c r="X3" s="14"/>
      <x:c r="Y3" s="14"/>
      <x:c r="Z3" s="14"/>
    </x:row>
    <x:row r="4">
      <x:c r="A4" s="32" t="str">
        <x:v>QA001</x:v>
      </x:c>
      <x:c r="B4" s="32" t="str">
        <x:v>PCODE</x:v>
      </x:c>
      <x:c r="C4" s="32" t="str">
        <x:v>Kasaï / Kamonia</x:v>
      </x:c>
      <x:c r="D4" s="32" t="str">
        <x:v>Le PCode brut 9102 ne correspond pas au préfixe 92 attendu pour le Kasaï.</x:v>
      </x:c>
      <x:c r="E4" s="32" t="str">
        <x:v>ÉLEVÉ</x:v>
      </x:c>
      <x:c r="F4" s="32" t="str">
        <x:v>Vérifier avec RGC/CAID/OCHA avant production.</x:v>
      </x:c>
      <x:c r="G4" s="32" t="str">
        <x:v>OUVERT</x:v>
      </x:c>
      <x:c r="H4" s="32" t="str">
        <x:v>S05</x:v>
      </x:c>
      <x:c r="I4" s="14"/>
      <x:c r="J4" s="14"/>
      <x:c r="K4" s="14"/>
      <x:c r="L4" s="14"/>
      <x:c r="M4" s="14"/>
      <x:c r="N4" s="14"/>
      <x:c r="O4" s="14"/>
      <x:c r="P4" s="14"/>
      <x:c r="Q4" s="14"/>
      <x:c r="R4" s="14"/>
      <x:c r="S4" s="14"/>
      <x:c r="T4" s="14"/>
      <x:c r="U4" s="14"/>
      <x:c r="V4" s="14"/>
      <x:c r="W4" s="14"/>
      <x:c r="X4" s="14"/>
      <x:c r="Y4" s="14"/>
      <x:c r="Z4" s="14"/>
    </x:row>
    <x:row r="5">
      <x:c r="A5" s="32" t="str">
        <x:v>QA002</x:v>
      </x:c>
      <x:c r="B5" s="32" t="str">
        <x:v>PCODE</x:v>
      </x:c>
      <x:c r="C5" s="32" t="str">
        <x:v>Tanganyika / Kongolo</x:v>
      </x:c>
      <x:c r="D5" s="32" t="str">
        <x:v>Le PCode brut 9109 ne correspond pas au préfixe 74 attendu pour le Tanganyika.</x:v>
      </x:c>
      <x:c r="E5" s="32" t="str">
        <x:v>ÉLEVÉ</x:v>
      </x:c>
      <x:c r="F5" s="32" t="str">
        <x:v>Vérifier avec RGC/CAID/OCHA avant production.</x:v>
      </x:c>
      <x:c r="G5" s="32" t="str">
        <x:v>OUVERT</x:v>
      </x:c>
      <x:c r="H5" s="32" t="str">
        <x:v>S05</x:v>
      </x:c>
      <x:c r="I5" s="14"/>
      <x:c r="J5" s="14"/>
      <x:c r="K5" s="14"/>
      <x:c r="L5" s="14"/>
      <x:c r="M5" s="14"/>
      <x:c r="N5" s="14"/>
      <x:c r="O5" s="14"/>
      <x:c r="P5" s="14"/>
      <x:c r="Q5" s="14"/>
      <x:c r="R5" s="14"/>
      <x:c r="S5" s="14"/>
      <x:c r="T5" s="14"/>
      <x:c r="U5" s="14"/>
      <x:c r="V5" s="14"/>
      <x:c r="W5" s="14"/>
      <x:c r="X5" s="14"/>
      <x:c r="Y5" s="14"/>
      <x:c r="Z5" s="14"/>
    </x:row>
    <x:row r="6">
      <x:c r="A6" s="14" t="str">
        <x:v>QA003</x:v>
      </x:c>
      <x:c r="B6" s="14" t="str">
        <x:v>AGRÉGAT_ETD</x:v>
      </x:c>
      <x:c r="C6" s="14" t="str">
        <x:v>National</x:v>
      </x:c>
      <x:c r="D6" s="14" t="str">
        <x:v>La somme des lignes provinciales utilisées donne 471 secteurs + 263 chefferies = 734, alors que le résumé de la source consultée affiche 472 secteurs + 262 chefferies = 734.</x:v>
      </x:c>
      <x:c r="E6" s="14" t="str">
        <x:v>MOYEN</x:v>
      </x:c>
      <x:c r="F6" s="14" t="str">
        <x:v>Valider la ventilation exacte par type; le total 734 reste cohérent.</x:v>
      </x:c>
      <x:c r="G6" s="14" t="str">
        <x:v>OUVERT</x:v>
      </x:c>
      <x:c r="H6" s="14" t="str">
        <x:v>S03</x:v>
      </x:c>
      <x:c r="I6" s="14"/>
      <x:c r="J6" s="14"/>
      <x:c r="K6" s="14"/>
      <x:c r="L6" s="14"/>
      <x:c r="M6" s="14"/>
      <x:c r="N6" s="14"/>
      <x:c r="O6" s="14"/>
      <x:c r="P6" s="14"/>
      <x:c r="Q6" s="14"/>
      <x:c r="R6" s="14"/>
      <x:c r="S6" s="14"/>
      <x:c r="T6" s="14"/>
      <x:c r="U6" s="14"/>
      <x:c r="V6" s="14"/>
      <x:c r="W6" s="14"/>
      <x:c r="X6" s="14"/>
      <x:c r="Y6" s="14"/>
      <x:c r="Z6" s="14"/>
    </x:row>
    <x:row r="7">
      <x:c r="A7" s="32" t="str">
        <x:v>QA004</x:v>
      </x:c>
      <x:c r="B7" s="32" t="str">
        <x:v>FRAÎCHEUR</x:v>
      </x:c>
      <x:c r="C7" s="32" t="str">
        <x:v>Groupements / villages</x:v>
      </x:c>
      <x:c r="D7" s="32" t="str">
        <x:v>Le RGC décrit des couches groupements/localités très utiles mais datées de 2010 pour ces niveaux.</x:v>
      </x:c>
      <x:c r="E7" s="32" t="str">
        <x:v>ÉLEVÉ</x:v>
      </x:c>
      <x:c r="F7" s="32" t="str">
        <x:v>Croiser avec RGPH/IGC, SG Décentralisation et autres référentiels récents.</x:v>
      </x:c>
      <x:c r="G7" s="32" t="str">
        <x:v>OUVERT</x:v>
      </x:c>
      <x:c r="H7" s="32" t="str">
        <x:v>S02;S09</x:v>
      </x:c>
      <x:c r="I7" s="14"/>
      <x:c r="J7" s="14"/>
      <x:c r="K7" s="14"/>
      <x:c r="L7" s="14"/>
      <x:c r="M7" s="14"/>
      <x:c r="N7" s="14"/>
      <x:c r="O7" s="14"/>
      <x:c r="P7" s="14"/>
      <x:c r="Q7" s="14"/>
      <x:c r="R7" s="14"/>
      <x:c r="S7" s="14"/>
      <x:c r="T7" s="14"/>
      <x:c r="U7" s="14"/>
      <x:c r="V7" s="14"/>
      <x:c r="W7" s="14"/>
      <x:c r="X7" s="14"/>
      <x:c r="Y7" s="14"/>
      <x:c r="Z7" s="14"/>
    </x:row>
    <x:row r="8">
      <x:c r="A8" s="14" t="str">
        <x:v>QA005</x:v>
      </x:c>
      <x:c r="B8" s="14" t="str">
        <x:v>COUVERTURE</x:v>
      </x:c>
      <x:c r="C8" s="14" t="str">
        <x:v>Groupements / villages</x:v>
      </x:c>
      <x:c r="D8" s="14" t="str">
        <x:v>Les noms et coordonnées exhaustifs ne sont pas encore chargés dans cette phase; les tables et le staging RGC sont prêts.</x:v>
      </x:c>
      <x:c r="E8" s="14" t="str">
        <x:v>INFO</x:v>
      </x:c>
      <x:c r="F8" s="14" t="str">
        <x:v>Importer les fichiers sources après acquisition/validation.</x:v>
      </x:c>
      <x:c r="G8" s="14" t="str">
        <x:v>OUVERT</x:v>
      </x:c>
      <x:c r="H8" s="14" t="str">
        <x:v>S02;S09;S11</x:v>
      </x:c>
      <x:c r="I8" s="14"/>
      <x:c r="J8" s="14"/>
      <x:c r="K8" s="14"/>
      <x:c r="L8" s="14"/>
      <x:c r="M8" s="14"/>
      <x:c r="N8" s="14"/>
      <x:c r="O8" s="14"/>
      <x:c r="P8" s="14"/>
      <x:c r="Q8" s="14"/>
      <x:c r="R8" s="14"/>
      <x:c r="S8" s="14"/>
      <x:c r="T8" s="14"/>
      <x:c r="U8" s="14"/>
      <x:c r="V8" s="14"/>
      <x:c r="W8" s="14"/>
      <x:c r="X8" s="14"/>
      <x:c r="Y8" s="14"/>
      <x:c r="Z8" s="14"/>
    </x:row>
    <x:row r="9">
      <x:c r="A9" s="14" t="str">
        <x:v>QA006</x:v>
      </x:c>
      <x:c r="B9" s="14" t="str">
        <x:v>ETHNOLINGUISTIQUE</x:v>
      </x:c>
      <x:c r="C9" s="14" t="str">
        <x:v>National</x:v>
      </x:c>
      <x:c r="D9" s="14" t="str">
        <x:v>Aucune tribu/groupe ethnolinguistique n’est attribué automatiquement à un secteur ou village pour éviter les généralisations erronées.</x:v>
      </x:c>
      <x:c r="E9" s="14" t="str">
        <x:v>INFO</x:v>
      </x:c>
      <x:c r="F9" s="14" t="str">
        <x:v>Charger uniquement des associations sourcées et permettre plusieurs groupes/langues par entité.</x:v>
      </x:c>
      <x:c r="G9" s="14" t="str">
        <x:v>OUVERT</x:v>
      </x:c>
      <x:c r="H9" s="14" t="str">
        <x:v>S07;S08</x:v>
      </x:c>
      <x:c r="I9" s="14"/>
      <x:c r="J9" s="14"/>
      <x:c r="K9" s="14"/>
      <x:c r="L9" s="14"/>
      <x:c r="M9" s="14"/>
      <x:c r="N9" s="14"/>
      <x:c r="O9" s="14"/>
      <x:c r="P9" s="14"/>
      <x:c r="Q9" s="14"/>
      <x:c r="R9" s="14"/>
      <x:c r="S9" s="14"/>
      <x:c r="T9" s="14"/>
      <x:c r="U9" s="14"/>
      <x:c r="V9" s="14"/>
      <x:c r="W9" s="14"/>
      <x:c r="X9" s="14"/>
      <x:c r="Y9" s="14"/>
      <x:c r="Z9" s="14"/>
    </x:row>
    <x:row r="10">
      <x:c r="A10" s="14" t="str">
        <x:v>QA007</x:v>
      </x:c>
      <x:c r="B10" s="14" t="str">
        <x:v>VARIATION_ETD</x:v>
      </x:c>
      <x:c r="C10" s="14" t="str">
        <x:v>National</x:v>
      </x:c>
      <x:c r="D10" s="14" t="str">
        <x:v>La nomenclature détaillée 2018 chargée contient 469 secteurs + 265 chefferies = 734; le contrôle agrégé 2025 consulté contient 471 secteurs + 263 chefferies = 734.</x:v>
      </x:c>
      <x:c r="E10" s="14" t="str">
        <x:v>ÉLEVÉ</x:v>
      </x:c>
      <x:c r="F10" s="14" t="str">
        <x:v>Identifier province par province les changements de type, fusion, scission ou dénomination avant de remplacer les lignes 2018.</x:v>
      </x:c>
      <x:c r="G10" s="14" t="str">
        <x:v>OUVERT</x:v>
      </x:c>
      <x:c r="H10" s="14" t="str">
        <x:v>S06;S12</x:v>
      </x:c>
      <x:c r="I10" s="14"/>
      <x:c r="J10" s="14"/>
      <x:c r="K10" s="14"/>
      <x:c r="L10" s="14"/>
      <x:c r="M10" s="14"/>
      <x:c r="N10" s="14"/>
      <x:c r="O10" s="14"/>
      <x:c r="P10" s="14"/>
      <x:c r="Q10" s="14"/>
      <x:c r="R10" s="14"/>
      <x:c r="S10" s="14"/>
      <x:c r="T10" s="14"/>
      <x:c r="U10" s="14"/>
      <x:c r="V10" s="14"/>
      <x:c r="W10" s="14"/>
      <x:c r="X10" s="14"/>
      <x:c r="Y10" s="14"/>
      <x:c r="Z10" s="14"/>
    </x:row>
    <x:row r="11">
      <x:c r="A11" s="14" t="str">
        <x:v>QA008</x:v>
      </x:c>
      <x:c r="B11" s="14" t="str">
        <x:v>SOURCE_2025</x:v>
      </x:c>
      <x:c r="C11" s="14" t="str">
        <x:v>National</x:v>
      </x:c>
      <x:c r="D11" s="14" t="str">
        <x:v>La nomenclature 2025 accessible dans cette phase est une copie/mirror consultable et non un fichier primaire téléchargé du SG Décentralisation.</x:v>
      </x:c>
      <x:c r="E11" s="14" t="str">
        <x:v>MOYEN</x:v>
      </x:c>
      <x:c r="F11" s="14" t="str">
        <x:v>Obtenir l’original officiel signé ou publié par le SG Décentralisation et effectuer un rapprochement ligne à ligne.</x:v>
      </x:c>
      <x:c r="G11" s="14" t="str">
        <x:v>OUVERT</x:v>
      </x:c>
      <x:c r="H11" s="14" t="str">
        <x:v>S12</x:v>
      </x:c>
      <x:c r="I11" s="14"/>
      <x:c r="J11" s="14"/>
      <x:c r="K11" s="14"/>
      <x:c r="L11" s="14"/>
      <x:c r="M11" s="14"/>
      <x:c r="N11" s="14"/>
      <x:c r="O11" s="14"/>
      <x:c r="P11" s="14"/>
      <x:c r="Q11" s="14"/>
      <x:c r="R11" s="14"/>
      <x:c r="S11" s="14"/>
      <x:c r="T11" s="14"/>
      <x:c r="U11" s="14"/>
      <x:c r="V11" s="14"/>
      <x:c r="W11" s="14"/>
      <x:c r="X11" s="14"/>
      <x:c r="Y11" s="14"/>
      <x:c r="Z11" s="14"/>
    </x:row>
    <x:row r="12">
      <x:c r="A12" s="14" t="str">
        <x:v>QA009</x:v>
      </x:c>
      <x:c r="B12" s="14" t="str">
        <x:v>COORDONNEES</x:v>
      </x:c>
      <x:c r="C12" s="14" t="str">
        <x:v>Secteurs/Chefferies</x:v>
      </x:c>
      <x:c r="D12" s="14" t="str">
        <x:v>La liste 2018 chargée ne fournit pas de PCode, code INS ou coordonnées pour les secteurs/chefferies.</x:v>
      </x:c>
      <x:c r="E12" s="14" t="str">
        <x:v>MOYEN</x:v>
      </x:c>
      <x:c r="F12" s="14" t="str">
        <x:v>Enrichir à partir du RGC/INS/IGC après validation des correspondances.</x:v>
      </x:c>
      <x:c r="G12" s="14" t="str">
        <x:v>OUVERT</x:v>
      </x:c>
      <x:c r="H12" s="14" t="str">
        <x:v>S02;S06</x:v>
      </x:c>
      <x:c r="I12" s="14"/>
      <x:c r="J12" s="14"/>
      <x:c r="K12" s="14"/>
      <x:c r="L12" s="14"/>
      <x:c r="M12" s="14"/>
      <x:c r="N12" s="14"/>
      <x:c r="O12" s="14"/>
      <x:c r="P12" s="14"/>
      <x:c r="Q12" s="14"/>
      <x:c r="R12" s="14"/>
      <x:c r="S12" s="14"/>
      <x:c r="T12" s="14"/>
      <x:c r="U12" s="14"/>
      <x:c r="V12" s="14"/>
      <x:c r="W12" s="14"/>
      <x:c r="X12" s="14"/>
      <x:c r="Y12" s="14"/>
      <x:c r="Z12" s="14"/>
    </x:row>
    <x:row r="13">
      <x:c r="A13" s="14" t="str">
        <x:v>QA010</x:v>
      </x:c>
      <x:c r="B13" s="14" t="str">
        <x:v>REFERENCE_HISTORIQUE</x:v>
      </x:c>
      <x:c r="C13" s="14" t="str">
        <x:v>Groupements / villages</x:v>
      </x:c>
      <x:c r="D13" s="14" t="str">
        <x:v>La CENI recense 5 910 groupements et 87 710 villages dans sa nomenclature stabilisée; ce millésime n’est pas automatiquement l’état administratif 2026.</x:v>
      </x:c>
      <x:c r="E13" s="14" t="str">
        <x:v>MOYEN</x:v>
      </x:c>
      <x:c r="F13" s="14" t="str">
        <x:v>Conserver comme cible de contrôle et rechercher la nomenclature détaillée/currentisée avant certification.</x:v>
      </x:c>
      <x:c r="G13" s="14" t="str">
        <x:v>OUVERT</x:v>
      </x:c>
      <x:c r="H13" s="14" t="str">
        <x:v>S13</x:v>
      </x:c>
      <x:c r="I13" s="14"/>
      <x:c r="J13" s="14"/>
      <x:c r="K13" s="14"/>
      <x:c r="L13" s="14"/>
      <x:c r="M13" s="14"/>
      <x:c r="N13" s="14"/>
      <x:c r="O13" s="14"/>
      <x:c r="P13" s="14"/>
      <x:c r="Q13" s="14"/>
      <x:c r="R13" s="14"/>
      <x:c r="S13" s="14"/>
      <x:c r="T13" s="14"/>
      <x:c r="U13" s="14"/>
      <x:c r="V13" s="14"/>
      <x:c r="W13" s="14"/>
      <x:c r="X13" s="14"/>
      <x:c r="Y13" s="14"/>
      <x:c r="Z13" s="14"/>
    </x:row>
    <x:row r="14">
      <x:c r="A14" s="14" t="str">
        <x:v>QA011</x:v>
      </x:c>
      <x:c r="B14" s="14" t="str">
        <x:v>SEMANTIQUE</x:v>
      </x:c>
      <x:c r="C14" s="14" t="str">
        <x:v>Villages / GRID3</x:v>
      </x:c>
      <x:c r="D14" s="14" t="str">
        <x:v>Les 128 236 points de peuplement GRID3 v9.0 ne sont pas équivalents à 128 236 villages administratifs.</x:v>
      </x:c>
      <x:c r="E14" s="14" t="str">
        <x:v>ÉLEVÉ</x:v>
      </x:c>
      <x:c r="F14" s="14" t="str">
        <x:v>Rapprocher GRID3 au RGC/CENI; promouvoir un village seulement avec rattachement administratif vérifié.</x:v>
      </x:c>
      <x:c r="G14" s="14" t="str">
        <x:v>OUVERT</x:v>
      </x:c>
      <x:c r="H14" s="14" t="str">
        <x:v>S11;S02;S13</x:v>
      </x:c>
      <x:c r="I14" s="14"/>
      <x:c r="J14" s="14"/>
      <x:c r="K14" s="14"/>
      <x:c r="L14" s="14"/>
      <x:c r="M14" s="14"/>
      <x:c r="N14" s="14"/>
      <x:c r="O14" s="14"/>
      <x:c r="P14" s="14"/>
      <x:c r="Q14" s="14"/>
      <x:c r="R14" s="14"/>
      <x:c r="S14" s="14"/>
      <x:c r="T14" s="14"/>
      <x:c r="U14" s="14"/>
      <x:c r="V14" s="14"/>
      <x:c r="W14" s="14"/>
      <x:c r="X14" s="14"/>
      <x:c r="Y14" s="14"/>
      <x:c r="Z14" s="14"/>
    </x:row>
    <x:row r="15">
      <x:c r="A15" s="14" t="str">
        <x:v>QA012</x:v>
      </x:c>
      <x:c r="B15" s="14" t="str">
        <x:v>IMPORT</x:v>
      </x:c>
      <x:c r="C15" s="14" t="str">
        <x:v>Groupements / villages</x:v>
      </x:c>
      <x:c r="D15" s="14" t="str">
        <x:v>La présente Phase 2B prépare l’ETL et les contrôles, mais les fichiers détaillés RGC/CENI des noms de groupements et villages ne sont pas encore matérialisés dans le runtime.</x:v>
      </x:c>
      <x:c r="E15" s="14" t="str">
        <x:v>INFO</x:v>
      </x:c>
      <x:c r="F15" s="14" t="str">
        <x:v>Exécuter les importeurs fournis sur les jeux sources puis relancer les contrôles de couverture et d’appariement.</x:v>
      </x:c>
      <x:c r="G15" s="14" t="str">
        <x:v>OUVERT</x:v>
      </x:c>
      <x:c r="H15" s="14" t="str">
        <x:v>S02;S11;S13</x:v>
      </x:c>
      <x:c r="I15" s="14"/>
      <x:c r="J15" s="14"/>
      <x:c r="K15" s="14"/>
      <x:c r="L15" s="14"/>
      <x:c r="M15" s="14"/>
      <x:c r="N15" s="14"/>
      <x:c r="O15" s="14"/>
      <x:c r="P15" s="14"/>
      <x:c r="Q15" s="14"/>
      <x:c r="R15" s="14"/>
      <x:c r="S15" s="14"/>
      <x:c r="T15" s="14"/>
      <x:c r="U15" s="14"/>
      <x:c r="V15" s="14"/>
      <x:c r="W15" s="14"/>
      <x:c r="X15" s="14"/>
      <x:c r="Y15" s="14"/>
      <x:c r="Z15" s="14"/>
    </x:row>
    <x:row r="16">
      <x:c r="A16" s="14"/>
      <x:c r="B16" s="14"/>
      <x:c r="C16" s="14"/>
      <x:c r="D16" s="14"/>
      <x:c r="E16" s="14"/>
      <x:c r="F16" s="14"/>
      <x:c r="G16" s="14"/>
      <x:c r="H16" s="14"/>
      <x:c r="I16" s="14"/>
      <x:c r="J16" s="14"/>
      <x:c r="K16" s="14"/>
      <x:c r="L16" s="14"/>
      <x:c r="M16" s="14"/>
      <x:c r="N16" s="14"/>
      <x:c r="O16" s="14"/>
      <x:c r="P16" s="14"/>
      <x:c r="Q16" s="14"/>
      <x:c r="R16" s="14"/>
      <x:c r="S16" s="14"/>
      <x:c r="T16" s="14"/>
      <x:c r="U16" s="14"/>
      <x:c r="V16" s="14"/>
      <x:c r="W16" s="14"/>
      <x:c r="X16" s="14"/>
      <x:c r="Y16" s="14"/>
      <x:c r="Z16" s="14"/>
    </x:row>
    <x:row r="17">
      <x:c r="A17" s="14"/>
      <x:c r="B17" s="14"/>
      <x:c r="C17" s="14"/>
      <x:c r="D17" s="14"/>
      <x:c r="E17" s="14"/>
      <x:c r="F17" s="14"/>
      <x:c r="G17" s="14"/>
      <x:c r="H17" s="14"/>
      <x:c r="I17" s="14"/>
      <x:c r="J17" s="14"/>
      <x:c r="K17" s="14"/>
      <x:c r="L17" s="14"/>
      <x:c r="M17" s="14"/>
      <x:c r="N17" s="14"/>
      <x:c r="O17" s="14"/>
      <x:c r="P17" s="14"/>
      <x:c r="Q17" s="14"/>
      <x:c r="R17" s="14"/>
      <x:c r="S17" s="14"/>
      <x:c r="T17" s="14"/>
      <x:c r="U17" s="14"/>
      <x:c r="V17" s="14"/>
      <x:c r="W17" s="14"/>
      <x:c r="X17" s="14"/>
      <x:c r="Y17" s="14"/>
      <x:c r="Z17" s="14"/>
    </x:row>
    <x:row r="18">
      <x:c r="A18" s="14"/>
      <x:c r="B18" s="14"/>
      <x:c r="C18" s="14"/>
      <x:c r="D18" s="14"/>
      <x:c r="E18" s="14"/>
      <x:c r="F18" s="14"/>
      <x:c r="G18" s="14"/>
      <x:c r="H18" s="14"/>
      <x:c r="I18" s="14"/>
      <x:c r="J18" s="14"/>
      <x:c r="K18" s="14"/>
      <x:c r="L18" s="14"/>
      <x:c r="M18" s="14"/>
      <x:c r="N18" s="14"/>
      <x:c r="O18" s="14"/>
      <x:c r="P18" s="14"/>
      <x:c r="Q18" s="14"/>
      <x:c r="R18" s="14"/>
      <x:c r="S18" s="14"/>
      <x:c r="T18" s="14"/>
      <x:c r="U18" s="14"/>
      <x:c r="V18" s="14"/>
      <x:c r="W18" s="14"/>
      <x:c r="X18" s="14"/>
      <x:c r="Y18" s="14"/>
      <x:c r="Z18" s="14"/>
    </x:row>
    <x:row r="19">
      <x:c r="A19" s="14"/>
      <x:c r="B19" s="14"/>
      <x:c r="C19" s="14"/>
      <x:c r="D19" s="14"/>
      <x:c r="E19" s="14"/>
      <x:c r="F19" s="14"/>
      <x:c r="G19" s="14"/>
      <x:c r="H19" s="14"/>
      <x:c r="I19" s="14"/>
      <x:c r="J19" s="14"/>
      <x:c r="K19" s="14"/>
      <x:c r="L19" s="14"/>
      <x:c r="M19" s="14"/>
      <x:c r="N19" s="14"/>
      <x:c r="O19" s="14"/>
      <x:c r="P19" s="14"/>
      <x:c r="Q19" s="14"/>
      <x:c r="R19" s="14"/>
      <x:c r="S19" s="14"/>
      <x:c r="T19" s="14"/>
      <x:c r="U19" s="14"/>
      <x:c r="V19" s="14"/>
      <x:c r="W19" s="14"/>
      <x:c r="X19" s="14"/>
      <x:c r="Y19" s="14"/>
      <x:c r="Z19" s="14"/>
    </x:row>
    <x:row r="20">
      <x:c r="A20" s="14"/>
      <x:c r="B20" s="14"/>
      <x:c r="C20" s="14"/>
      <x:c r="D20" s="14"/>
      <x:c r="E20" s="14"/>
      <x:c r="F20" s="14"/>
      <x:c r="G20" s="14"/>
      <x:c r="H20" s="14"/>
      <x:c r="I20" s="14"/>
      <x:c r="J20" s="14"/>
      <x:c r="K20" s="14"/>
      <x:c r="L20" s="14"/>
      <x:c r="M20" s="14"/>
      <x:c r="N20" s="14"/>
      <x:c r="O20" s="14"/>
      <x:c r="P20" s="14"/>
      <x:c r="Q20" s="14"/>
      <x:c r="R20" s="14"/>
      <x:c r="S20" s="14"/>
      <x:c r="T20" s="14"/>
      <x:c r="U20" s="14"/>
      <x:c r="V20" s="14"/>
      <x:c r="W20" s="14"/>
      <x:c r="X20" s="14"/>
      <x:c r="Y20" s="14"/>
      <x:c r="Z20" s="14"/>
    </x:row>
    <x:row r="21">
      <x:c r="A21" s="14"/>
      <x:c r="B21" s="14"/>
      <x:c r="C21" s="14"/>
      <x:c r="D21" s="14"/>
      <x:c r="E21" s="14"/>
      <x:c r="F21" s="14"/>
      <x:c r="G21" s="14"/>
      <x:c r="H21" s="14"/>
      <x:c r="I21" s="14"/>
      <x:c r="J21" s="14"/>
      <x:c r="K21" s="14"/>
      <x:c r="L21" s="14"/>
      <x:c r="M21" s="14"/>
      <x:c r="N21" s="14"/>
      <x:c r="O21" s="14"/>
      <x:c r="P21" s="14"/>
      <x:c r="Q21" s="14"/>
      <x:c r="R21" s="14"/>
      <x:c r="S21" s="14"/>
      <x:c r="T21" s="14"/>
      <x:c r="U21" s="14"/>
      <x:c r="V21" s="14"/>
      <x:c r="W21" s="14"/>
      <x:c r="X21" s="14"/>
      <x:c r="Y21" s="14"/>
      <x:c r="Z21" s="14"/>
    </x:row>
    <x:row r="22">
      <x:c r="A22" s="14"/>
      <x:c r="B22" s="14"/>
      <x:c r="C22" s="14"/>
      <x:c r="D22" s="14"/>
      <x:c r="E22" s="14"/>
      <x:c r="F22" s="14"/>
      <x:c r="G22" s="14"/>
      <x:c r="H22" s="14"/>
      <x:c r="I22" s="14"/>
      <x:c r="J22" s="14"/>
      <x:c r="K22" s="14"/>
      <x:c r="L22" s="14"/>
      <x:c r="M22" s="14"/>
      <x:c r="N22" s="14"/>
      <x:c r="O22" s="14"/>
      <x:c r="P22" s="14"/>
      <x:c r="Q22" s="14"/>
      <x:c r="R22" s="14"/>
      <x:c r="S22" s="14"/>
      <x:c r="T22" s="14"/>
      <x:c r="U22" s="14"/>
      <x:c r="V22" s="14"/>
      <x:c r="W22" s="14"/>
      <x:c r="X22" s="14"/>
      <x:c r="Y22" s="14"/>
      <x:c r="Z22" s="14"/>
    </x:row>
    <x:row r="23">
      <x:c r="A23" s="14"/>
      <x:c r="B23" s="14"/>
      <x:c r="C23" s="14"/>
      <x:c r="D23" s="14"/>
      <x:c r="E23" s="14"/>
      <x:c r="F23" s="14"/>
      <x:c r="G23" s="14"/>
      <x:c r="H23" s="14"/>
      <x:c r="I23" s="14"/>
      <x:c r="J23" s="14"/>
      <x:c r="K23" s="14"/>
      <x:c r="L23" s="14"/>
      <x:c r="M23" s="14"/>
      <x:c r="N23" s="14"/>
      <x:c r="O23" s="14"/>
      <x:c r="P23" s="14"/>
      <x:c r="Q23" s="14"/>
      <x:c r="R23" s="14"/>
      <x:c r="S23" s="14"/>
      <x:c r="T23" s="14"/>
      <x:c r="U23" s="14"/>
      <x:c r="V23" s="14"/>
      <x:c r="W23" s="14"/>
      <x:c r="X23" s="14"/>
      <x:c r="Y23" s="14"/>
      <x:c r="Z23" s="14"/>
    </x:row>
    <x:row r="24">
      <x:c r="A24" s="14"/>
      <x:c r="B24" s="14"/>
      <x:c r="C24" s="14"/>
      <x:c r="D24" s="14"/>
      <x:c r="E24" s="14"/>
      <x:c r="F24" s="14"/>
      <x:c r="G24" s="14"/>
      <x:c r="H24" s="14"/>
      <x:c r="I24" s="14"/>
      <x:c r="J24" s="14"/>
      <x:c r="K24" s="14"/>
      <x:c r="L24" s="14"/>
      <x:c r="M24" s="14"/>
      <x:c r="N24" s="14"/>
      <x:c r="O24" s="14"/>
      <x:c r="P24" s="14"/>
      <x:c r="Q24" s="14"/>
      <x:c r="R24" s="14"/>
      <x:c r="S24" s="14"/>
      <x:c r="T24" s="14"/>
      <x:c r="U24" s="14"/>
      <x:c r="V24" s="14"/>
      <x:c r="W24" s="14"/>
      <x:c r="X24" s="14"/>
      <x:c r="Y24" s="14"/>
      <x:c r="Z24" s="14"/>
    </x:row>
    <x:row r="25">
      <x:c r="A25" s="14"/>
      <x:c r="B25" s="14"/>
      <x:c r="C25" s="14"/>
      <x:c r="D25" s="14"/>
      <x:c r="E25" s="14"/>
      <x:c r="F25" s="14"/>
      <x:c r="G25" s="14"/>
      <x:c r="H25" s="14"/>
      <x:c r="I25" s="14"/>
      <x:c r="J25" s="14"/>
      <x:c r="K25" s="14"/>
      <x:c r="L25" s="14"/>
      <x:c r="M25" s="14"/>
      <x:c r="N25" s="14"/>
      <x:c r="O25" s="14"/>
      <x:c r="P25" s="14"/>
      <x:c r="Q25" s="14"/>
      <x:c r="R25" s="14"/>
      <x:c r="S25" s="14"/>
      <x:c r="T25" s="14"/>
      <x:c r="U25" s="14"/>
      <x:c r="V25" s="14"/>
      <x:c r="W25" s="14"/>
      <x:c r="X25" s="14"/>
      <x:c r="Y25" s="14"/>
      <x:c r="Z25" s="14"/>
    </x:row>
    <x:row r="26">
      <x:c r="A26" s="14"/>
      <x:c r="B26" s="14"/>
      <x:c r="C26" s="14"/>
      <x:c r="D26" s="14"/>
      <x:c r="E26" s="14"/>
      <x:c r="F26" s="14"/>
      <x:c r="G26" s="14"/>
      <x:c r="H26" s="14"/>
      <x:c r="I26" s="14"/>
      <x:c r="J26" s="14"/>
      <x:c r="K26" s="14"/>
      <x:c r="L26" s="14"/>
      <x:c r="M26" s="14"/>
      <x:c r="N26" s="14"/>
      <x:c r="O26" s="14"/>
      <x:c r="P26" s="14"/>
      <x:c r="Q26" s="14"/>
      <x:c r="R26" s="14"/>
      <x:c r="S26" s="14"/>
      <x:c r="T26" s="14"/>
      <x:c r="U26" s="14"/>
      <x:c r="V26" s="14"/>
      <x:c r="W26" s="14"/>
      <x:c r="X26" s="14"/>
      <x:c r="Y26" s="14"/>
      <x:c r="Z26" s="14"/>
    </x:row>
    <x:row r="27">
      <x:c r="A27" s="14"/>
      <x:c r="B27" s="14"/>
      <x:c r="C27" s="14"/>
      <x:c r="D27" s="14"/>
      <x:c r="E27" s="14"/>
      <x:c r="F27" s="14"/>
      <x:c r="G27" s="14"/>
      <x:c r="H27" s="14"/>
      <x:c r="I27" s="14"/>
      <x:c r="J27" s="14"/>
      <x:c r="K27" s="14"/>
      <x:c r="L27" s="14"/>
      <x:c r="M27" s="14"/>
      <x:c r="N27" s="14"/>
      <x:c r="O27" s="14"/>
      <x:c r="P27" s="14"/>
      <x:c r="Q27" s="14"/>
      <x:c r="R27" s="14"/>
      <x:c r="S27" s="14"/>
      <x:c r="T27" s="14"/>
      <x:c r="U27" s="14"/>
      <x:c r="V27" s="14"/>
      <x:c r="W27" s="14"/>
      <x:c r="X27" s="14"/>
      <x:c r="Y27" s="14"/>
      <x:c r="Z27" s="14"/>
    </x:row>
    <x:row r="28">
      <x:c r="A28" s="14"/>
      <x:c r="B28" s="14"/>
      <x:c r="C28" s="14"/>
      <x:c r="D28" s="14"/>
      <x:c r="E28" s="14"/>
      <x:c r="F28" s="14"/>
      <x:c r="G28" s="14"/>
      <x:c r="H28" s="14"/>
      <x:c r="I28" s="14"/>
      <x:c r="J28" s="14"/>
      <x:c r="K28" s="14"/>
      <x:c r="L28" s="14"/>
      <x:c r="M28" s="14"/>
      <x:c r="N28" s="14"/>
      <x:c r="O28" s="14"/>
      <x:c r="P28" s="14"/>
      <x:c r="Q28" s="14"/>
      <x:c r="R28" s="14"/>
      <x:c r="S28" s="14"/>
      <x:c r="T28" s="14"/>
      <x:c r="U28" s="14"/>
      <x:c r="V28" s="14"/>
      <x:c r="W28" s="14"/>
      <x:c r="X28" s="14"/>
      <x:c r="Y28" s="14"/>
      <x:c r="Z28" s="14"/>
    </x:row>
    <x:row r="29">
      <x:c r="A29" s="14"/>
      <x:c r="B29" s="14"/>
      <x:c r="C29" s="14"/>
      <x:c r="D29" s="14"/>
      <x:c r="E29" s="14"/>
      <x:c r="F29" s="14"/>
      <x:c r="G29" s="14"/>
      <x:c r="H29" s="14"/>
      <x:c r="I29" s="14"/>
      <x:c r="J29" s="14"/>
      <x:c r="K29" s="14"/>
      <x:c r="L29" s="14"/>
      <x:c r="M29" s="14"/>
      <x:c r="N29" s="14"/>
      <x:c r="O29" s="14"/>
      <x:c r="P29" s="14"/>
      <x:c r="Q29" s="14"/>
      <x:c r="R29" s="14"/>
      <x:c r="S29" s="14"/>
      <x:c r="T29" s="14"/>
      <x:c r="U29" s="14"/>
      <x:c r="V29" s="14"/>
      <x:c r="W29" s="14"/>
      <x:c r="X29" s="14"/>
      <x:c r="Y29" s="14"/>
      <x:c r="Z29" s="14"/>
    </x:row>
    <x:row r="30">
      <x:c r="A30" s="14"/>
      <x:c r="B30" s="14"/>
      <x:c r="C30" s="14"/>
      <x:c r="D30" s="14"/>
      <x:c r="E30" s="14"/>
      <x:c r="F30" s="14"/>
      <x:c r="G30" s="14"/>
      <x:c r="H30" s="14"/>
      <x:c r="I30" s="14"/>
      <x:c r="J30" s="14"/>
      <x:c r="K30" s="14"/>
      <x:c r="L30" s="14"/>
      <x:c r="M30" s="14"/>
      <x:c r="N30" s="14"/>
      <x:c r="O30" s="14"/>
      <x:c r="P30" s="14"/>
      <x:c r="Q30" s="14"/>
      <x:c r="R30" s="14"/>
      <x:c r="S30" s="14"/>
      <x:c r="T30" s="14"/>
      <x:c r="U30" s="14"/>
      <x:c r="V30" s="14"/>
      <x:c r="W30" s="14"/>
      <x:c r="X30" s="14"/>
      <x:c r="Y30" s="14"/>
      <x:c r="Z30" s="14"/>
    </x:row>
    <x:row r="31">
      <x:c r="A31" s="14"/>
      <x:c r="B31" s="14"/>
      <x:c r="C31" s="14"/>
      <x:c r="D31" s="14"/>
      <x:c r="E31" s="14"/>
      <x:c r="F31" s="14"/>
      <x:c r="G31" s="14"/>
      <x:c r="H31" s="14"/>
      <x:c r="I31" s="14"/>
      <x:c r="J31" s="14"/>
      <x:c r="K31" s="14"/>
      <x:c r="L31" s="14"/>
      <x:c r="M31" s="14"/>
      <x:c r="N31" s="14"/>
      <x:c r="O31" s="14"/>
      <x:c r="P31" s="14"/>
      <x:c r="Q31" s="14"/>
      <x:c r="R31" s="14"/>
      <x:c r="S31" s="14"/>
      <x:c r="T31" s="14"/>
      <x:c r="U31" s="14"/>
      <x:c r="V31" s="14"/>
      <x:c r="W31" s="14"/>
      <x:c r="X31" s="14"/>
      <x:c r="Y31" s="14"/>
      <x:c r="Z31" s="14"/>
    </x:row>
    <x:row r="32">
      <x:c r="A32" s="14"/>
      <x:c r="B32" s="14"/>
      <x:c r="C32" s="14"/>
      <x:c r="D32" s="14"/>
      <x:c r="E32" s="14"/>
      <x:c r="F32" s="14"/>
      <x:c r="G32" s="14"/>
      <x:c r="H32" s="14"/>
      <x:c r="I32" s="14"/>
      <x:c r="J32" s="14"/>
      <x:c r="K32" s="14"/>
      <x:c r="L32" s="14"/>
      <x:c r="M32" s="14"/>
      <x:c r="N32" s="14"/>
      <x:c r="O32" s="14"/>
      <x:c r="P32" s="14"/>
      <x:c r="Q32" s="14"/>
      <x:c r="R32" s="14"/>
      <x:c r="S32" s="14"/>
      <x:c r="T32" s="14"/>
      <x:c r="U32" s="14"/>
      <x:c r="V32" s="14"/>
      <x:c r="W32" s="14"/>
      <x:c r="X32" s="14"/>
      <x:c r="Y32" s="14"/>
      <x:c r="Z32" s="14"/>
    </x:row>
    <x:row r="33">
      <x:c r="A33" s="14"/>
      <x:c r="B33" s="14"/>
      <x:c r="C33" s="14"/>
      <x:c r="D33" s="14"/>
      <x:c r="E33" s="14"/>
      <x:c r="F33" s="14"/>
      <x:c r="G33" s="14"/>
      <x:c r="H33" s="14"/>
      <x:c r="I33" s="14"/>
      <x:c r="J33" s="14"/>
      <x:c r="K33" s="14"/>
      <x:c r="L33" s="14"/>
      <x:c r="M33" s="14"/>
      <x:c r="N33" s="14"/>
      <x:c r="O33" s="14"/>
      <x:c r="P33" s="14"/>
      <x:c r="Q33" s="14"/>
      <x:c r="R33" s="14"/>
      <x:c r="S33" s="14"/>
      <x:c r="T33" s="14"/>
      <x:c r="U33" s="14"/>
      <x:c r="V33" s="14"/>
      <x:c r="W33" s="14"/>
      <x:c r="X33" s="14"/>
      <x:c r="Y33" s="14"/>
      <x:c r="Z33" s="14"/>
    </x:row>
    <x:row r="34">
      <x:c r="A34" s="14"/>
      <x:c r="B34" s="14"/>
      <x:c r="C34" s="14"/>
      <x:c r="D34" s="14"/>
      <x:c r="E34" s="14"/>
      <x:c r="F34" s="14"/>
      <x:c r="G34" s="14"/>
      <x:c r="H34" s="14"/>
      <x:c r="I34" s="14"/>
      <x:c r="J34" s="14"/>
      <x:c r="K34" s="14"/>
      <x:c r="L34" s="14"/>
      <x:c r="M34" s="14"/>
      <x:c r="N34" s="14"/>
      <x:c r="O34" s="14"/>
      <x:c r="P34" s="14"/>
      <x:c r="Q34" s="14"/>
      <x:c r="R34" s="14"/>
      <x:c r="S34" s="14"/>
      <x:c r="T34" s="14"/>
      <x:c r="U34" s="14"/>
      <x:c r="V34" s="14"/>
      <x:c r="W34" s="14"/>
      <x:c r="X34" s="14"/>
      <x:c r="Y34" s="14"/>
      <x:c r="Z34" s="14"/>
    </x:row>
    <x:row r="35">
      <x:c r="A35" s="14"/>
      <x:c r="B35" s="14"/>
      <x:c r="C35" s="14"/>
      <x:c r="D35" s="14"/>
      <x:c r="E35" s="14"/>
      <x:c r="F35" s="14"/>
      <x:c r="G35" s="14"/>
      <x:c r="H35" s="14"/>
      <x:c r="I35" s="14"/>
      <x:c r="J35" s="14"/>
      <x:c r="K35" s="14"/>
      <x:c r="L35" s="14"/>
      <x:c r="M35" s="14"/>
      <x:c r="N35" s="14"/>
      <x:c r="O35" s="14"/>
      <x:c r="P35" s="14"/>
      <x:c r="Q35" s="14"/>
      <x:c r="R35" s="14"/>
      <x:c r="S35" s="14"/>
      <x:c r="T35" s="14"/>
      <x:c r="U35" s="14"/>
      <x:c r="V35" s="14"/>
      <x:c r="W35" s="14"/>
      <x:c r="X35" s="14"/>
      <x:c r="Y35" s="14"/>
      <x:c r="Z35" s="14"/>
    </x:row>
    <x:row r="36">
      <x:c r="A36" s="14"/>
      <x:c r="B36" s="14"/>
      <x:c r="C36" s="14"/>
      <x:c r="D36" s="14"/>
      <x:c r="E36" s="14"/>
      <x:c r="F36" s="14"/>
      <x:c r="G36" s="14"/>
      <x:c r="H36" s="14"/>
      <x:c r="I36" s="14"/>
      <x:c r="J36" s="14"/>
      <x:c r="K36" s="14"/>
      <x:c r="L36" s="14"/>
      <x:c r="M36" s="14"/>
      <x:c r="N36" s="14"/>
      <x:c r="O36" s="14"/>
      <x:c r="P36" s="14"/>
      <x:c r="Q36" s="14"/>
      <x:c r="R36" s="14"/>
      <x:c r="S36" s="14"/>
      <x:c r="T36" s="14"/>
      <x:c r="U36" s="14"/>
      <x:c r="V36" s="14"/>
      <x:c r="W36" s="14"/>
      <x:c r="X36" s="14"/>
      <x:c r="Y36" s="14"/>
      <x:c r="Z36" s="14"/>
    </x:row>
    <x:row r="37">
      <x:c r="A37" s="14"/>
      <x:c r="B37" s="14"/>
      <x:c r="C37" s="14"/>
      <x:c r="D37" s="14"/>
      <x:c r="E37" s="14"/>
      <x:c r="F37" s="14"/>
      <x:c r="G37" s="14"/>
      <x:c r="H37" s="14"/>
      <x:c r="I37" s="14"/>
      <x:c r="J37" s="14"/>
      <x:c r="K37" s="14"/>
      <x:c r="L37" s="14"/>
      <x:c r="M37" s="14"/>
      <x:c r="N37" s="14"/>
      <x:c r="O37" s="14"/>
      <x:c r="P37" s="14"/>
      <x:c r="Q37" s="14"/>
      <x:c r="R37" s="14"/>
      <x:c r="S37" s="14"/>
      <x:c r="T37" s="14"/>
      <x:c r="U37" s="14"/>
      <x:c r="V37" s="14"/>
      <x:c r="W37" s="14"/>
      <x:c r="X37" s="14"/>
      <x:c r="Y37" s="14"/>
      <x:c r="Z37" s="14"/>
    </x:row>
    <x:row r="38">
      <x:c r="A38" s="14"/>
      <x:c r="B38" s="14"/>
      <x:c r="C38" s="14"/>
      <x:c r="D38" s="14"/>
      <x:c r="E38" s="14"/>
      <x:c r="F38" s="14"/>
      <x:c r="G38" s="14"/>
      <x:c r="H38" s="14"/>
      <x:c r="I38" s="14"/>
      <x:c r="J38" s="14"/>
      <x:c r="K38" s="14"/>
      <x:c r="L38" s="14"/>
      <x:c r="M38" s="14"/>
      <x:c r="N38" s="14"/>
      <x:c r="O38" s="14"/>
      <x:c r="P38" s="14"/>
      <x:c r="Q38" s="14"/>
      <x:c r="R38" s="14"/>
      <x:c r="S38" s="14"/>
      <x:c r="T38" s="14"/>
      <x:c r="U38" s="14"/>
      <x:c r="V38" s="14"/>
      <x:c r="W38" s="14"/>
      <x:c r="X38" s="14"/>
      <x:c r="Y38" s="14"/>
      <x:c r="Z38" s="14"/>
    </x:row>
    <x:row r="39">
      <x:c r="A39" s="14"/>
      <x:c r="B39" s="14"/>
      <x:c r="C39" s="14"/>
      <x:c r="D39" s="14"/>
      <x:c r="E39" s="14"/>
      <x:c r="F39" s="14"/>
      <x:c r="G39" s="14"/>
      <x:c r="H39" s="14"/>
      <x:c r="I39" s="14"/>
      <x:c r="J39" s="14"/>
      <x:c r="K39" s="14"/>
      <x:c r="L39" s="14"/>
      <x:c r="M39" s="14"/>
      <x:c r="N39" s="14"/>
      <x:c r="O39" s="14"/>
      <x:c r="P39" s="14"/>
      <x:c r="Q39" s="14"/>
      <x:c r="R39" s="14"/>
      <x:c r="S39" s="14"/>
      <x:c r="T39" s="14"/>
      <x:c r="U39" s="14"/>
      <x:c r="V39" s="14"/>
      <x:c r="W39" s="14"/>
      <x:c r="X39" s="14"/>
      <x:c r="Y39" s="14"/>
      <x:c r="Z39" s="14"/>
    </x:row>
    <x:row r="40">
      <x:c r="A40" s="14"/>
      <x:c r="B40" s="14"/>
      <x:c r="C40" s="14"/>
      <x:c r="D40" s="14"/>
      <x:c r="E40" s="14"/>
      <x:c r="F40" s="14"/>
      <x:c r="G40" s="14"/>
      <x:c r="H40" s="14"/>
      <x:c r="I40" s="14"/>
      <x:c r="J40" s="14"/>
      <x:c r="K40" s="14"/>
      <x:c r="L40" s="14"/>
      <x:c r="M40" s="14"/>
      <x:c r="N40" s="14"/>
      <x:c r="O40" s="14"/>
      <x:c r="P40" s="14"/>
      <x:c r="Q40" s="14"/>
      <x:c r="R40" s="14"/>
      <x:c r="S40" s="14"/>
      <x:c r="T40" s="14"/>
      <x:c r="U40" s="14"/>
      <x:c r="V40" s="14"/>
      <x:c r="W40" s="14"/>
      <x:c r="X40" s="14"/>
      <x:c r="Y40" s="14"/>
      <x:c r="Z40" s="14"/>
    </x:row>
    <x:row r="41">
      <x:c r="A41" s="14"/>
      <x:c r="B41" s="14"/>
      <x:c r="C41" s="14"/>
      <x:c r="D41" s="14"/>
      <x:c r="E41" s="14"/>
      <x:c r="F41" s="14"/>
      <x:c r="G41" s="14"/>
      <x:c r="H41" s="14"/>
      <x:c r="I41" s="14"/>
      <x:c r="J41" s="14"/>
      <x:c r="K41" s="14"/>
      <x:c r="L41" s="14"/>
      <x:c r="M41" s="14"/>
      <x:c r="N41" s="14"/>
      <x:c r="O41" s="14"/>
      <x:c r="P41" s="14"/>
      <x:c r="Q41" s="14"/>
      <x:c r="R41" s="14"/>
      <x:c r="S41" s="14"/>
      <x:c r="T41" s="14"/>
      <x:c r="U41" s="14"/>
      <x:c r="V41" s="14"/>
      <x:c r="W41" s="14"/>
      <x:c r="X41" s="14"/>
      <x:c r="Y41" s="14"/>
      <x:c r="Z41" s="14"/>
    </x:row>
    <x:row r="42">
      <x:c r="A42" s="14"/>
      <x:c r="B42" s="14"/>
      <x:c r="C42" s="14"/>
      <x:c r="D42" s="14"/>
      <x:c r="E42" s="14"/>
      <x:c r="F42" s="14"/>
      <x:c r="G42" s="14"/>
      <x:c r="H42" s="14"/>
      <x:c r="I42" s="14"/>
      <x:c r="J42" s="14"/>
      <x:c r="K42" s="14"/>
      <x:c r="L42" s="14"/>
      <x:c r="M42" s="14"/>
      <x:c r="N42" s="14"/>
      <x:c r="O42" s="14"/>
      <x:c r="P42" s="14"/>
      <x:c r="Q42" s="14"/>
      <x:c r="R42" s="14"/>
      <x:c r="S42" s="14"/>
      <x:c r="T42" s="14"/>
      <x:c r="U42" s="14"/>
      <x:c r="V42" s="14"/>
      <x:c r="W42" s="14"/>
      <x:c r="X42" s="14"/>
      <x:c r="Y42" s="14"/>
      <x:c r="Z42" s="14"/>
    </x:row>
    <x:row r="43">
      <x:c r="A43" s="14"/>
      <x:c r="B43" s="14"/>
      <x:c r="C43" s="14"/>
      <x:c r="D43" s="14"/>
      <x:c r="E43" s="14"/>
      <x:c r="F43" s="14"/>
      <x:c r="G43" s="14"/>
      <x:c r="H43" s="14"/>
      <x:c r="I43" s="14"/>
      <x:c r="J43" s="14"/>
      <x:c r="K43" s="14"/>
      <x:c r="L43" s="14"/>
      <x:c r="M43" s="14"/>
      <x:c r="N43" s="14"/>
      <x:c r="O43" s="14"/>
      <x:c r="P43" s="14"/>
      <x:c r="Q43" s="14"/>
      <x:c r="R43" s="14"/>
      <x:c r="S43" s="14"/>
      <x:c r="T43" s="14"/>
      <x:c r="U43" s="14"/>
      <x:c r="V43" s="14"/>
      <x:c r="W43" s="14"/>
      <x:c r="X43" s="14"/>
      <x:c r="Y43" s="14"/>
      <x:c r="Z43" s="14"/>
    </x:row>
    <x:row r="44">
      <x:c r="A44" s="14"/>
      <x:c r="B44" s="14"/>
      <x:c r="C44" s="14"/>
      <x:c r="D44" s="14"/>
      <x:c r="E44" s="14"/>
      <x:c r="F44" s="14"/>
      <x:c r="G44" s="14"/>
      <x:c r="H44" s="14"/>
      <x:c r="I44" s="14"/>
      <x:c r="J44" s="14"/>
      <x:c r="K44" s="14"/>
      <x:c r="L44" s="14"/>
      <x:c r="M44" s="14"/>
      <x:c r="N44" s="14"/>
      <x:c r="O44" s="14"/>
      <x:c r="P44" s="14"/>
      <x:c r="Q44" s="14"/>
      <x:c r="R44" s="14"/>
      <x:c r="S44" s="14"/>
      <x:c r="T44" s="14"/>
      <x:c r="U44" s="14"/>
      <x:c r="V44" s="14"/>
      <x:c r="W44" s="14"/>
      <x:c r="X44" s="14"/>
      <x:c r="Y44" s="14"/>
      <x:c r="Z44" s="14"/>
    </x:row>
    <x:row r="45">
      <x:c r="A45" s="14"/>
      <x:c r="B45" s="14"/>
      <x:c r="C45" s="14"/>
      <x:c r="D45" s="14"/>
      <x:c r="E45" s="14"/>
      <x:c r="F45" s="14"/>
      <x:c r="G45" s="14"/>
      <x:c r="H45" s="14"/>
      <x:c r="I45" s="14"/>
      <x:c r="J45" s="14"/>
      <x:c r="K45" s="14"/>
      <x:c r="L45" s="14"/>
      <x:c r="M45" s="14"/>
      <x:c r="N45" s="14"/>
      <x:c r="O45" s="14"/>
      <x:c r="P45" s="14"/>
      <x:c r="Q45" s="14"/>
      <x:c r="R45" s="14"/>
      <x:c r="S45" s="14"/>
      <x:c r="T45" s="14"/>
      <x:c r="U45" s="14"/>
      <x:c r="V45" s="14"/>
      <x:c r="W45" s="14"/>
      <x:c r="X45" s="14"/>
      <x:c r="Y45" s="14"/>
      <x:c r="Z45" s="14"/>
    </x:row>
    <x:row r="46">
      <x:c r="A46" s="14"/>
      <x:c r="B46" s="14"/>
      <x:c r="C46" s="14"/>
      <x:c r="D46" s="14"/>
      <x:c r="E46" s="14"/>
      <x:c r="F46" s="14"/>
      <x:c r="G46" s="14"/>
      <x:c r="H46" s="14"/>
      <x:c r="I46" s="14"/>
      <x:c r="J46" s="14"/>
      <x:c r="K46" s="14"/>
      <x:c r="L46" s="14"/>
      <x:c r="M46" s="14"/>
      <x:c r="N46" s="14"/>
      <x:c r="O46" s="14"/>
      <x:c r="P46" s="14"/>
      <x:c r="Q46" s="14"/>
      <x:c r="R46" s="14"/>
      <x:c r="S46" s="14"/>
      <x:c r="T46" s="14"/>
      <x:c r="U46" s="14"/>
      <x:c r="V46" s="14"/>
      <x:c r="W46" s="14"/>
      <x:c r="X46" s="14"/>
      <x:c r="Y46" s="14"/>
      <x:c r="Z46" s="14"/>
    </x:row>
    <x:row r="47">
      <x:c r="A47" s="14"/>
      <x:c r="B47" s="14"/>
      <x:c r="C47" s="14"/>
      <x:c r="D47" s="14"/>
      <x:c r="E47" s="14"/>
      <x:c r="F47" s="14"/>
      <x:c r="G47" s="14"/>
      <x:c r="H47" s="14"/>
      <x:c r="I47" s="14"/>
      <x:c r="J47" s="14"/>
      <x:c r="K47" s="14"/>
      <x:c r="L47" s="14"/>
      <x:c r="M47" s="14"/>
      <x:c r="N47" s="14"/>
      <x:c r="O47" s="14"/>
      <x:c r="P47" s="14"/>
      <x:c r="Q47" s="14"/>
      <x:c r="R47" s="14"/>
      <x:c r="S47" s="14"/>
      <x:c r="T47" s="14"/>
      <x:c r="U47" s="14"/>
      <x:c r="V47" s="14"/>
      <x:c r="W47" s="14"/>
      <x:c r="X47" s="14"/>
      <x:c r="Y47" s="14"/>
      <x:c r="Z47" s="14"/>
    </x:row>
    <x:row r="48">
      <x:c r="A48" s="14"/>
      <x:c r="B48" s="14"/>
      <x:c r="C48" s="14"/>
      <x:c r="D48" s="14"/>
      <x:c r="E48" s="14"/>
      <x:c r="F48" s="14"/>
      <x:c r="G48" s="14"/>
      <x:c r="H48" s="14"/>
      <x:c r="I48" s="14"/>
      <x:c r="J48" s="14"/>
      <x:c r="K48" s="14"/>
      <x:c r="L48" s="14"/>
      <x:c r="M48" s="14"/>
      <x:c r="N48" s="14"/>
      <x:c r="O48" s="14"/>
      <x:c r="P48" s="14"/>
      <x:c r="Q48" s="14"/>
      <x:c r="R48" s="14"/>
      <x:c r="S48" s="14"/>
      <x:c r="T48" s="14"/>
      <x:c r="U48" s="14"/>
      <x:c r="V48" s="14"/>
      <x:c r="W48" s="14"/>
      <x:c r="X48" s="14"/>
      <x:c r="Y48" s="14"/>
      <x:c r="Z48" s="14"/>
    </x:row>
    <x:row r="49">
      <x:c r="A49" s="14"/>
      <x:c r="B49" s="14"/>
      <x:c r="C49" s="14"/>
      <x:c r="D49" s="14"/>
      <x:c r="E49" s="14"/>
      <x:c r="F49" s="14"/>
      <x:c r="G49" s="14"/>
      <x:c r="H49" s="14"/>
      <x:c r="I49" s="14"/>
      <x:c r="J49" s="14"/>
      <x:c r="K49" s="14"/>
      <x:c r="L49" s="14"/>
      <x:c r="M49" s="14"/>
      <x:c r="N49" s="14"/>
      <x:c r="O49" s="14"/>
      <x:c r="P49" s="14"/>
      <x:c r="Q49" s="14"/>
      <x:c r="R49" s="14"/>
      <x:c r="S49" s="14"/>
      <x:c r="T49" s="14"/>
      <x:c r="U49" s="14"/>
      <x:c r="V49" s="14"/>
      <x:c r="W49" s="14"/>
      <x:c r="X49" s="14"/>
      <x:c r="Y49" s="14"/>
      <x:c r="Z49" s="14"/>
    </x:row>
    <x:row r="50">
      <x:c r="A50" s="14"/>
      <x:c r="B50" s="14"/>
      <x:c r="C50" s="14"/>
      <x:c r="D50" s="14"/>
      <x:c r="E50" s="14"/>
      <x:c r="F50" s="14"/>
      <x:c r="G50" s="14"/>
      <x:c r="H50" s="14"/>
      <x:c r="I50" s="14"/>
      <x:c r="J50" s="14"/>
      <x:c r="K50" s="14"/>
      <x:c r="L50" s="14"/>
      <x:c r="M50" s="14"/>
      <x:c r="N50" s="14"/>
      <x:c r="O50" s="14"/>
      <x:c r="P50" s="14"/>
      <x:c r="Q50" s="14"/>
      <x:c r="R50" s="14"/>
      <x:c r="S50" s="14"/>
      <x:c r="T50" s="14"/>
      <x:c r="U50" s="14"/>
      <x:c r="V50" s="14"/>
      <x:c r="W50" s="14"/>
      <x:c r="X50" s="14"/>
      <x:c r="Y50" s="14"/>
      <x:c r="Z50" s="14"/>
    </x:row>
  </x:sheetData>
  <x:mergeCells>
    <x:mergeCell ref="A1:H1"/>
    <x:mergeCell ref="A2:H2"/>
  </x:mergeCells>
  <x:pageMargins left="0.7" right="0.7" top="0.75" bottom="0.75" header="0.3" footer="0.3"/>
  <x:tableParts count="1">
    <x:tablePart xmlns:r="http://schemas.openxmlformats.org/officeDocument/2006/relationships" r:id="R64563061b77747ec"/>
  </x:tableParts>
</x:worksheet>
</file>

<file path=xl/worksheets/sheet15.xml><?xml version="1.0" encoding="utf-8"?>
<x:worksheet xmlns:x="http://schemas.openxmlformats.org/spreadsheetml/2006/main">
  <x:sheetFormatPr defaultRowHeight="15"/>
  <x:cols>
    <x:col min="1" max="1" width="34" hidden="0" customWidth="1"/>
    <x:col min="2" max="2" width="30" hidden="0" customWidth="1"/>
    <x:col min="3" max="3" width="24" hidden="0" customWidth="1"/>
    <x:col min="4" max="4" width="78" hidden="0" customWidth="1"/>
  </x:cols>
  <x:sheetData>
    <x:row r="1" ht="28" customHeight="1">
      <x:c r="A1" s="50" t="str">
        <x:v>Dictionnaire de données</x:v>
      </x:c>
      <x:c r="B1" s="50"/>
      <x:c r="C1" s="50"/>
      <x:c r="D1" s="50"/>
    </x:row>
    <x:row r="2">
      <x:c r="A2" s="18" t="str">
        <x:v>Résumé des principales clés et règles. Le script PostgreSQL contient les contraintes complètes.</x:v>
      </x:c>
      <x:c r="B2" s="18"/>
      <x:c r="C2" s="18"/>
      <x:c r="D2" s="18"/>
    </x:row>
    <x:row r="3">
      <x:c r="A3" s="26" t="str">
        <x:v>table</x:v>
      </x:c>
      <x:c r="B3" s="26" t="str">
        <x:v>champ</x:v>
      </x:c>
      <x:c r="C3" s="26" t="str">
        <x:v>rôle/type</x:v>
      </x:c>
      <x:c r="D3" s="26" t="str">
        <x:v>description</x:v>
      </x:c>
    </x:row>
    <x:row r="4">
      <x:c r="A4" s="14" t="str">
        <x:v>province</x:v>
      </x:c>
      <x:c r="B4" s="14" t="str">
        <x:v>province_id</x:v>
      </x:c>
      <x:c r="C4" s="14" t="str">
        <x:v>PK</x:v>
      </x:c>
      <x:c r="D4" s="14" t="str">
        <x:v>Identifiant interne stable de la province</x:v>
      </x:c>
    </x:row>
    <x:row r="5">
      <x:c r="A5" s="14" t="str">
        <x:v>territoire</x:v>
      </x:c>
      <x:c r="B5" s="14" t="str">
        <x:v>province_id</x:v>
      </x:c>
      <x:c r="C5" s="14" t="str">
        <x:v>FK → province</x:v>
      </x:c>
      <x:c r="D5" s="14" t="str">
        <x:v>Province du territoire</x:v>
      </x:c>
    </x:row>
    <x:row r="6">
      <x:c r="A6" s="14" t="str">
        <x:v>territoire</x:v>
      </x:c>
      <x:c r="B6" s="14" t="str">
        <x:v>pcode_reference_brut</x:v>
      </x:c>
      <x:c r="C6" s="14" t="str">
        <x:v>Référence à valider</x:v>
      </x:c>
      <x:c r="D6" s="14" t="str">
        <x:v>PCode de travail, ne pas traiter comme officiel avant validation</x:v>
      </x:c>
    </x:row>
    <x:row r="7">
      <x:c r="A7" s="14" t="str">
        <x:v>secteur_chefferie</x:v>
      </x:c>
      <x:c r="B7" s="14" t="str">
        <x:v>type_entite</x:v>
      </x:c>
      <x:c r="C7" s="14" t="str">
        <x:v>SECTEUR/CHEFFERIE</x:v>
      </x:c>
      <x:c r="D7" s="14" t="str">
        <x:v>Type administratif</x:v>
      </x:c>
    </x:row>
    <x:row r="8">
      <x:c r="A8" s="14" t="str">
        <x:v>groupement</x:v>
      </x:c>
      <x:c r="B8" s="14" t="str">
        <x:v>secteur_chefferie_id</x:v>
      </x:c>
      <x:c r="C8" s="14" t="str">
        <x:v>FK</x:v>
      </x:c>
      <x:c r="D8" s="14" t="str">
        <x:v>Rattachement au secteur/chefferie</x:v>
      </x:c>
    </x:row>
    <x:row r="9">
      <x:c r="A9" s="14" t="str">
        <x:v>village</x:v>
      </x:c>
      <x:c r="B9" s="14" t="str">
        <x:v>groupement_id</x:v>
      </x:c>
      <x:c r="C9" s="14" t="str">
        <x:v>FK</x:v>
      </x:c>
      <x:c r="D9" s="14" t="str">
        <x:v>Rattachement obligatoire au groupement</x:v>
      </x:c>
    </x:row>
    <x:row r="10">
      <x:c r="A10" s="14" t="str">
        <x:v>village</x:v>
      </x:c>
      <x:c r="B10" s="14" t="str">
        <x:v>latitude / longitude</x:v>
      </x:c>
      <x:c r="C10" s="14" t="str">
        <x:v>WGS84</x:v>
      </x:c>
      <x:c r="D10" s="14" t="str">
        <x:v>Coordonnées décimales</x:v>
      </x:c>
    </x:row>
    <x:row r="11">
      <x:c r="A11" s="14" t="str">
        <x:v>langue</x:v>
      </x:c>
      <x:c r="B11" s="14" t="str">
        <x:v>iso_639_3</x:v>
      </x:c>
      <x:c r="C11" s="14" t="str">
        <x:v>Code ISO</x:v>
      </x:c>
      <x:c r="D11" s="14" t="str">
        <x:v>Identifiant international lorsqu’il existe</x:v>
      </x:c>
    </x:row>
    <x:row r="12">
      <x:c r="A12" s="14" t="str">
        <x:v>langue</x:v>
      </x:c>
      <x:c r="B12" s="14" t="str">
        <x:v>glottocode</x:v>
      </x:c>
      <x:c r="C12" s="14" t="str">
        <x:v>Glottolog</x:v>
      </x:c>
      <x:c r="D12" s="14" t="str">
        <x:v>Identifiant complémentaire</x:v>
      </x:c>
    </x:row>
    <x:row r="13">
      <x:c r="A13" s="14" t="str">
        <x:v>implantation_ethnolinguistique</x:v>
      </x:c>
      <x:c r="B13" s="14" t="str">
        <x:v>niveau</x:v>
      </x:c>
      <x:c r="C13" s="14" t="str">
        <x:v>Portée</x:v>
      </x:c>
      <x:c r="D13" s="14" t="str">
        <x:v>SECTEUR_CHEFFERIE, GROUPEMENT ou VILLAGE</x:v>
      </x:c>
    </x:row>
    <x:row r="14">
      <x:c r="A14" s="14" t="str">
        <x:v>implantation_ethnolinguistique</x:v>
      </x:c>
      <x:c r="B14" s="14" t="str">
        <x:v>niveau_confiance</x:v>
      </x:c>
      <x:c r="C14" s="14" t="str">
        <x:v>Qualité</x:v>
      </x:c>
      <x:c r="D14" s="14" t="str">
        <x:v>FAIBLE, MOYEN, ÉLEVÉ ou VALIDÉ</x:v>
      </x:c>
    </x:row>
    <x:row r="15">
      <x:c r="A15" s="14" t="str">
        <x:v>source_reference</x:v>
      </x:c>
      <x:c r="B15" s="14" t="str">
        <x:v>source_id</x:v>
      </x:c>
      <x:c r="C15" s="14" t="str">
        <x:v>PK</x:v>
      </x:c>
      <x:c r="D15" s="14" t="str">
        <x:v>Traçabilité obligatoire des données</x:v>
      </x:c>
    </x:row>
    <x:row r="16">
      <x:c r="A16" s="14" t="str">
        <x:v>groupements_reference_ceni</x:v>
      </x:c>
      <x:c r="B16" s="14" t="str">
        <x:v>Controle_CENI_GV</x:v>
      </x:c>
      <x:c r="C16" s="14" t="str">
        <x:v>Nombre de groupements par province dans la nomenclature stabilisée CENI.</x:v>
      </x:c>
      <x:c r="D16" s="14" t="str">
        <x:v>S13</x:v>
      </x:c>
    </x:row>
    <x:row r="17">
      <x:c r="A17" s="14" t="str">
        <x:v>villages_reference_ceni</x:v>
      </x:c>
      <x:c r="B17" s="14" t="str">
        <x:v>Controle_CENI_GV</x:v>
      </x:c>
      <x:c r="C17" s="14" t="str">
        <x:v>Nombre de villages par province dans la nomenclature stabilisée CENI.</x:v>
      </x:c>
      <x:c r="D17" s="14" t="str">
        <x:v>S13</x:v>
      </x:c>
    </x:row>
    <x:row r="18">
      <x:c r="A18" s="14" t="str">
        <x:v>statut_liaison_admin</x:v>
      </x:c>
      <x:c r="B18" s="14" t="str">
        <x:v>Staging_GRID3</x:v>
      </x:c>
      <x:c r="C18" s="14" t="str">
        <x:v>État du rapprochement d’un point GRID3 vers la hiérarchie administrative.</x:v>
      </x:c>
      <x:c r="D18" s="14" t="str">
        <x:v>S11;S02</x:v>
      </x:c>
    </x:row>
    <x:row r="19">
      <x:c r="A19" s="14" t="str">
        <x:v>statut_validation</x:v>
      </x:c>
      <x:c r="B19" s="14" t="str">
        <x:v>Groupements / Villages</x:v>
      </x:c>
      <x:c r="C19" s="14" t="str">
        <x:v>Niveau de validation avant promotion dans le référentiel maître.</x:v>
      </x:c>
      <x:c r="D19" s="14" t="str">
        <x:v>S02;S13</x:v>
      </x:c>
    </x:row>
  </x:sheetData>
  <x:mergeCells>
    <x:mergeCell ref="A1:D1"/>
    <x:mergeCell ref="A2:D2"/>
  </x:mergeCells>
  <x:pageMargins left="0.7" right="0.7" top="0.75" bottom="0.75" header="0.3" footer="0.3"/>
  <x:tableParts count="1">
    <x:tablePart xmlns:r="http://schemas.openxmlformats.org/officeDocument/2006/relationships" r:id="R641d20e5ab874143"/>
  </x:tableParts>
</x:worksheet>
</file>

<file path=xl/worksheets/sheet16.xml><?xml version="1.0" encoding="utf-8"?>
<x:worksheet xmlns:x="http://schemas.openxmlformats.org/spreadsheetml/2006/main">
  <x:sheetFormatPr defaultRowHeight="15"/>
  <x:cols>
    <x:col min="1" max="1" width="11" hidden="0" customWidth="1"/>
    <x:col min="2" max="2" width="22" hidden="0" customWidth="1"/>
    <x:col min="3" max="3" width="14" hidden="0" customWidth="1"/>
    <x:col min="4" max="4" width="16" hidden="0" customWidth="1"/>
    <x:col min="5" max="5" width="12" hidden="0" customWidth="1"/>
    <x:col min="6" max="6" width="14" hidden="0" customWidth="1"/>
    <x:col min="7" max="7" width="16" hidden="0" customWidth="1"/>
    <x:col min="8" max="8" width="12" hidden="0" customWidth="1"/>
    <x:col min="9" max="9" width="14" hidden="0" customWidth="1"/>
    <x:col min="10" max="10" width="16" hidden="0" customWidth="1"/>
    <x:col min="11" max="11" width="12" hidden="0" customWidth="1"/>
    <x:col min="12" max="12" width="20" hidden="0" customWidth="1"/>
  </x:cols>
  <x:sheetData>
    <x:row r="1">
      <x:c r="A1" s="36" t="str">
        <x:v>Comparatif provincial — secteurs et chefferies 2018 vs contrôle 2025</x:v>
      </x:c>
      <x:c r="B1" s="36"/>
      <x:c r="C1" s="36"/>
      <x:c r="D1" s="36"/>
      <x:c r="E1" s="36"/>
      <x:c r="F1" s="36"/>
      <x:c r="G1" s="36"/>
      <x:c r="H1" s="36"/>
      <x:c r="I1" s="36"/>
      <x:c r="J1" s="36"/>
      <x:c r="K1" s="36"/>
      <x:c r="L1" s="36"/>
    </x:row>
    <x:row r="2">
      <x:c r="A2" s="39" t="str">
        <x:v>2018 = nomenclature détaillée S06 (CENI citée). 2025 = agrégats provinciaux S12 (copie consultable). Les écarts signalent les provinces à rapprocher au niveau ligne.</x:v>
      </x:c>
      <x:c r="B2" s="39"/>
      <x:c r="C2" s="39"/>
      <x:c r="D2" s="39"/>
      <x:c r="E2" s="39"/>
      <x:c r="F2" s="39"/>
      <x:c r="G2" s="39"/>
      <x:c r="H2" s="39"/>
      <x:c r="I2" s="39"/>
      <x:c r="J2" s="39"/>
      <x:c r="K2" s="39"/>
      <x:c r="L2" s="39"/>
    </x:row>
    <x:row r="3">
      <x:c r="A3" s="40" t="str">
        <x:v>province_id</x:v>
      </x:c>
      <x:c r="B3" s="40" t="str">
        <x:v>province</x:v>
      </x:c>
      <x:c r="C3" s="40" t="str">
        <x:v>secteurs_2018</x:v>
      </x:c>
      <x:c r="D3" s="40" t="str">
        <x:v>chefferies_2018</x:v>
      </x:c>
      <x:c r="E3" s="40" t="str">
        <x:v>total_2018</x:v>
      </x:c>
      <x:c r="F3" s="40" t="str">
        <x:v>secteurs_2025</x:v>
      </x:c>
      <x:c r="G3" s="40" t="str">
        <x:v>chefferies_2025</x:v>
      </x:c>
      <x:c r="H3" s="40" t="str">
        <x:v>total_2025</x:v>
      </x:c>
      <x:c r="I3" s="40" t="str">
        <x:v>delta_secteurs</x:v>
      </x:c>
      <x:c r="J3" s="40" t="str">
        <x:v>delta_chefferies</x:v>
      </x:c>
      <x:c r="K3" s="40" t="str">
        <x:v>delta_total</x:v>
      </x:c>
      <x:c r="L3" s="40" t="str">
        <x:v>statut</x:v>
      </x:c>
    </x:row>
    <x:row r="4">
      <x:c r="A4" s="14" t="n">
        <x:v>1</x:v>
      </x:c>
      <x:c r="B4" s="14" t="str">
        <x:v>Kinshasa</x:v>
      </x:c>
      <x:c r="C4" s="14" t="n">
        <x:v>0</x:v>
      </x:c>
      <x:c r="D4" s="14" t="n">
        <x:v>0</x:v>
      </x:c>
      <x:c r="E4" s="14" t="n">
        <x:f>C4+D4</x:f>
        <x:v>0</x:v>
      </x:c>
      <x:c r="F4" s="14" t="n">
        <x:v>0</x:v>
      </x:c>
      <x:c r="G4" s="14" t="n">
        <x:v>0</x:v>
      </x:c>
      <x:c r="H4" s="14" t="n">
        <x:f>F4+G4</x:f>
        <x:v>0</x:v>
      </x:c>
      <x:c r="I4" s="14" t="n">
        <x:f>F4-C4</x:f>
        <x:v>0</x:v>
      </x:c>
      <x:c r="J4" s="14" t="n">
        <x:f>G4-D4</x:f>
        <x:v>0</x:v>
      </x:c>
      <x:c r="K4" s="14" t="n">
        <x:f>H4-E4</x:f>
        <x:v>0</x:v>
      </x:c>
      <x:c r="L4" s="14" t="str">
        <x:f>IF(AND(I4=0,J4=0),"STABLE_AGREGAT","A_RECONCILIER")</x:f>
        <x:v>STABLE_AGREGAT</x:v>
      </x:c>
    </x:row>
    <x:row r="5">
      <x:c r="A5" s="14" t="n">
        <x:v>2</x:v>
      </x:c>
      <x:c r="B5" s="14" t="str">
        <x:v>Kongo Central</x:v>
      </x:c>
      <x:c r="C5" s="14" t="n">
        <x:v>55</x:v>
      </x:c>
      <x:c r="D5" s="14" t="n">
        <x:v>0</x:v>
      </x:c>
      <x:c r="E5" s="14" t="n">
        <x:f>C5+D5</x:f>
        <x:v>55</x:v>
      </x:c>
      <x:c r="F5" s="14" t="n">
        <x:v>55</x:v>
      </x:c>
      <x:c r="G5" s="14" t="n">
        <x:v>0</x:v>
      </x:c>
      <x:c r="H5" s="14" t="n">
        <x:f>F5+G5</x:f>
        <x:v>55</x:v>
      </x:c>
      <x:c r="I5" s="14" t="n">
        <x:f>F5-C5</x:f>
        <x:v>0</x:v>
      </x:c>
      <x:c r="J5" s="14" t="n">
        <x:f>G5-D5</x:f>
        <x:v>0</x:v>
      </x:c>
      <x:c r="K5" s="14" t="n">
        <x:f>H5-E5</x:f>
        <x:v>0</x:v>
      </x:c>
      <x:c r="L5" s="14" t="str">
        <x:f>IF(AND(I5=0,J5=0),"STABLE_AGREGAT","A_RECONCILIER")</x:f>
        <x:v>STABLE_AGREGAT</x:v>
      </x:c>
    </x:row>
    <x:row r="6">
      <x:c r="A6" s="14" t="n">
        <x:v>3</x:v>
      </x:c>
      <x:c r="B6" s="14" t="str">
        <x:v>Kwango</x:v>
      </x:c>
      <x:c r="C6" s="14" t="n">
        <x:v>20</x:v>
      </x:c>
      <x:c r="D6" s="14" t="n">
        <x:v>6</x:v>
      </x:c>
      <x:c r="E6" s="14" t="n">
        <x:f>C6+D6</x:f>
        <x:v>26</x:v>
      </x:c>
      <x:c r="F6" s="14" t="n">
        <x:v>20</x:v>
      </x:c>
      <x:c r="G6" s="14" t="n">
        <x:v>6</x:v>
      </x:c>
      <x:c r="H6" s="14" t="n">
        <x:f>F6+G6</x:f>
        <x:v>26</x:v>
      </x:c>
      <x:c r="I6" s="14" t="n">
        <x:f>F6-C6</x:f>
        <x:v>0</x:v>
      </x:c>
      <x:c r="J6" s="14" t="n">
        <x:f>G6-D6</x:f>
        <x:v>0</x:v>
      </x:c>
      <x:c r="K6" s="14" t="n">
        <x:f>H6-E6</x:f>
        <x:v>0</x:v>
      </x:c>
      <x:c r="L6" s="14" t="str">
        <x:f>IF(AND(I6=0,J6=0),"STABLE_AGREGAT","A_RECONCILIER")</x:f>
        <x:v>STABLE_AGREGAT</x:v>
      </x:c>
    </x:row>
    <x:row r="7">
      <x:c r="A7" s="14" t="n">
        <x:v>4</x:v>
      </x:c>
      <x:c r="B7" s="14" t="str">
        <x:v>Kwilu</x:v>
      </x:c>
      <x:c r="C7" s="14" t="n">
        <x:v>49</x:v>
      </x:c>
      <x:c r="D7" s="14" t="n">
        <x:v>0</x:v>
      </x:c>
      <x:c r="E7" s="14" t="n">
        <x:f>C7+D7</x:f>
        <x:v>49</x:v>
      </x:c>
      <x:c r="F7" s="14" t="n">
        <x:v>49</x:v>
      </x:c>
      <x:c r="G7" s="14" t="n">
        <x:v>0</x:v>
      </x:c>
      <x:c r="H7" s="14" t="n">
        <x:f>F7+G7</x:f>
        <x:v>49</x:v>
      </x:c>
      <x:c r="I7" s="14" t="n">
        <x:f>F7-C7</x:f>
        <x:v>0</x:v>
      </x:c>
      <x:c r="J7" s="14" t="n">
        <x:f>G7-D7</x:f>
        <x:v>0</x:v>
      </x:c>
      <x:c r="K7" s="14" t="n">
        <x:f>H7-E7</x:f>
        <x:v>0</x:v>
      </x:c>
      <x:c r="L7" s="14" t="str">
        <x:f>IF(AND(I7=0,J7=0),"STABLE_AGREGAT","A_RECONCILIER")</x:f>
        <x:v>STABLE_AGREGAT</x:v>
      </x:c>
    </x:row>
    <x:row r="8">
      <x:c r="A8" s="14" t="n">
        <x:v>5</x:v>
      </x:c>
      <x:c r="B8" s="14" t="str">
        <x:v>Mai-Ndombe</x:v>
      </x:c>
      <x:c r="C8" s="14" t="n">
        <x:v>15</x:v>
      </x:c>
      <x:c r="D8" s="14" t="n">
        <x:v>4</x:v>
      </x:c>
      <x:c r="E8" s="14" t="n">
        <x:f>C8+D8</x:f>
        <x:v>19</x:v>
      </x:c>
      <x:c r="F8" s="14" t="n">
        <x:v>15</x:v>
      </x:c>
      <x:c r="G8" s="14" t="n">
        <x:v>4</x:v>
      </x:c>
      <x:c r="H8" s="14" t="n">
        <x:f>F8+G8</x:f>
        <x:v>19</x:v>
      </x:c>
      <x:c r="I8" s="14" t="n">
        <x:f>F8-C8</x:f>
        <x:v>0</x:v>
      </x:c>
      <x:c r="J8" s="14" t="n">
        <x:f>G8-D8</x:f>
        <x:v>0</x:v>
      </x:c>
      <x:c r="K8" s="14" t="n">
        <x:f>H8-E8</x:f>
        <x:v>0</x:v>
      </x:c>
      <x:c r="L8" s="14" t="str">
        <x:f>IF(AND(I8=0,J8=0),"STABLE_AGREGAT","A_RECONCILIER")</x:f>
        <x:v>STABLE_AGREGAT</x:v>
      </x:c>
    </x:row>
    <x:row r="9">
      <x:c r="A9" s="14" t="n">
        <x:v>6</x:v>
      </x:c>
      <x:c r="B9" s="14" t="str">
        <x:v>Équateur</x:v>
      </x:c>
      <x:c r="C9" s="14" t="n">
        <x:v>21</x:v>
      </x:c>
      <x:c r="D9" s="14" t="n">
        <x:v>1</x:v>
      </x:c>
      <x:c r="E9" s="14" t="n">
        <x:f>C9+D9</x:f>
        <x:v>22</x:v>
      </x:c>
      <x:c r="F9" s="14" t="n">
        <x:v>21</x:v>
      </x:c>
      <x:c r="G9" s="14" t="n">
        <x:v>1</x:v>
      </x:c>
      <x:c r="H9" s="14" t="n">
        <x:f>F9+G9</x:f>
        <x:v>22</x:v>
      </x:c>
      <x:c r="I9" s="14" t="n">
        <x:f>F9-C9</x:f>
        <x:v>0</x:v>
      </x:c>
      <x:c r="J9" s="14" t="n">
        <x:f>G9-D9</x:f>
        <x:v>0</x:v>
      </x:c>
      <x:c r="K9" s="14" t="n">
        <x:f>H9-E9</x:f>
        <x:v>0</x:v>
      </x:c>
      <x:c r="L9" s="14" t="str">
        <x:f>IF(AND(I9=0,J9=0),"STABLE_AGREGAT","A_RECONCILIER")</x:f>
        <x:v>STABLE_AGREGAT</x:v>
      </x:c>
    </x:row>
    <x:row r="10">
      <x:c r="A10" s="14" t="n">
        <x:v>7</x:v>
      </x:c>
      <x:c r="B10" s="14" t="str">
        <x:v>Sud-Ubangi</x:v>
      </x:c>
      <x:c r="C10" s="14" t="n">
        <x:v>17</x:v>
      </x:c>
      <x:c r="D10" s="14" t="n">
        <x:v>0</x:v>
      </x:c>
      <x:c r="E10" s="14" t="n">
        <x:f>C10+D10</x:f>
        <x:v>17</x:v>
      </x:c>
      <x:c r="F10" s="14" t="n">
        <x:v>17</x:v>
      </x:c>
      <x:c r="G10" s="14" t="n">
        <x:v>0</x:v>
      </x:c>
      <x:c r="H10" s="14" t="n">
        <x:f>F10+G10</x:f>
        <x:v>17</x:v>
      </x:c>
      <x:c r="I10" s="14" t="n">
        <x:f>F10-C10</x:f>
        <x:v>0</x:v>
      </x:c>
      <x:c r="J10" s="14" t="n">
        <x:f>G10-D10</x:f>
        <x:v>0</x:v>
      </x:c>
      <x:c r="K10" s="14" t="n">
        <x:f>H10-E10</x:f>
        <x:v>0</x:v>
      </x:c>
      <x:c r="L10" s="14" t="str">
        <x:f>IF(AND(I10=0,J10=0),"STABLE_AGREGAT","A_RECONCILIER")</x:f>
        <x:v>STABLE_AGREGAT</x:v>
      </x:c>
    </x:row>
    <x:row r="11">
      <x:c r="A11" s="14" t="n">
        <x:v>8</x:v>
      </x:c>
      <x:c r="B11" s="14" t="str">
        <x:v>Nord-Ubangi</x:v>
      </x:c>
      <x:c r="C11" s="14" t="n">
        <x:v>11</x:v>
      </x:c>
      <x:c r="D11" s="14" t="n">
        <x:v>0</x:v>
      </x:c>
      <x:c r="E11" s="14" t="n">
        <x:f>C11+D11</x:f>
        <x:v>11</x:v>
      </x:c>
      <x:c r="F11" s="14" t="n">
        <x:v>11</x:v>
      </x:c>
      <x:c r="G11" s="14" t="n">
        <x:v>0</x:v>
      </x:c>
      <x:c r="H11" s="14" t="n">
        <x:f>F11+G11</x:f>
        <x:v>11</x:v>
      </x:c>
      <x:c r="I11" s="14" t="n">
        <x:f>F11-C11</x:f>
        <x:v>0</x:v>
      </x:c>
      <x:c r="J11" s="14" t="n">
        <x:f>G11-D11</x:f>
        <x:v>0</x:v>
      </x:c>
      <x:c r="K11" s="14" t="n">
        <x:f>H11-E11</x:f>
        <x:v>0</x:v>
      </x:c>
      <x:c r="L11" s="14" t="str">
        <x:f>IF(AND(I11=0,J11=0),"STABLE_AGREGAT","A_RECONCILIER")</x:f>
        <x:v>STABLE_AGREGAT</x:v>
      </x:c>
    </x:row>
    <x:row r="12">
      <x:c r="A12" s="14" t="n">
        <x:v>9</x:v>
      </x:c>
      <x:c r="B12" s="14" t="str">
        <x:v>Mongala</x:v>
      </x:c>
      <x:c r="C12" s="14" t="n">
        <x:v>13</x:v>
      </x:c>
      <x:c r="D12" s="14" t="n">
        <x:v>0</x:v>
      </x:c>
      <x:c r="E12" s="14" t="n">
        <x:f>C12+D12</x:f>
        <x:v>13</x:v>
      </x:c>
      <x:c r="F12" s="14" t="n">
        <x:v>13</x:v>
      </x:c>
      <x:c r="G12" s="14" t="n">
        <x:v>0</x:v>
      </x:c>
      <x:c r="H12" s="14" t="n">
        <x:f>F12+G12</x:f>
        <x:v>13</x:v>
      </x:c>
      <x:c r="I12" s="14" t="n">
        <x:f>F12-C12</x:f>
        <x:v>0</x:v>
      </x:c>
      <x:c r="J12" s="14" t="n">
        <x:f>G12-D12</x:f>
        <x:v>0</x:v>
      </x:c>
      <x:c r="K12" s="14" t="n">
        <x:f>H12-E12</x:f>
        <x:v>0</x:v>
      </x:c>
      <x:c r="L12" s="14" t="str">
        <x:f>IF(AND(I12=0,J12=0),"STABLE_AGREGAT","A_RECONCILIER")</x:f>
        <x:v>STABLE_AGREGAT</x:v>
      </x:c>
    </x:row>
    <x:row r="13">
      <x:c r="A13" s="14" t="n">
        <x:v>10</x:v>
      </x:c>
      <x:c r="B13" s="14" t="str">
        <x:v>Tshuapa</x:v>
      </x:c>
      <x:c r="C13" s="14" t="n">
        <x:v>23</x:v>
      </x:c>
      <x:c r="D13" s="14" t="n">
        <x:v>1</x:v>
      </x:c>
      <x:c r="E13" s="14" t="n">
        <x:f>C13+D13</x:f>
        <x:v>24</x:v>
      </x:c>
      <x:c r="F13" s="14" t="n">
        <x:v>23</x:v>
      </x:c>
      <x:c r="G13" s="14" t="n">
        <x:v>1</x:v>
      </x:c>
      <x:c r="H13" s="14" t="n">
        <x:f>F13+G13</x:f>
        <x:v>24</x:v>
      </x:c>
      <x:c r="I13" s="14" t="n">
        <x:f>F13-C13</x:f>
        <x:v>0</x:v>
      </x:c>
      <x:c r="J13" s="14" t="n">
        <x:f>G13-D13</x:f>
        <x:v>0</x:v>
      </x:c>
      <x:c r="K13" s="14" t="n">
        <x:f>H13-E13</x:f>
        <x:v>0</x:v>
      </x:c>
      <x:c r="L13" s="14" t="str">
        <x:f>IF(AND(I13=0,J13=0),"STABLE_AGREGAT","A_RECONCILIER")</x:f>
        <x:v>STABLE_AGREGAT</x:v>
      </x:c>
    </x:row>
    <x:row r="14">
      <x:c r="A14" s="14" t="n">
        <x:v>11</x:v>
      </x:c>
      <x:c r="B14" s="14" t="str">
        <x:v>Tshopo</x:v>
      </x:c>
      <x:c r="C14" s="14" t="n">
        <x:v>42</x:v>
      </x:c>
      <x:c r="D14" s="14" t="n">
        <x:v>16</x:v>
      </x:c>
      <x:c r="E14" s="14" t="n">
        <x:f>C14+D14</x:f>
        <x:v>58</x:v>
      </x:c>
      <x:c r="F14" s="14" t="n">
        <x:v>39</x:v>
      </x:c>
      <x:c r="G14" s="14" t="n">
        <x:v>19</x:v>
      </x:c>
      <x:c r="H14" s="14" t="n">
        <x:f>F14+G14</x:f>
        <x:v>58</x:v>
      </x:c>
      <x:c r="I14" s="14" t="n">
        <x:f>F14-C14</x:f>
        <x:v>-3</x:v>
      </x:c>
      <x:c r="J14" s="14" t="n">
        <x:f>G14-D14</x:f>
        <x:v>3</x:v>
      </x:c>
      <x:c r="K14" s="14" t="n">
        <x:f>H14-E14</x:f>
        <x:v>0</x:v>
      </x:c>
      <x:c r="L14" s="14" t="str">
        <x:f>IF(AND(I14=0,J14=0),"STABLE_AGREGAT","A_RECONCILIER")</x:f>
        <x:v>A_RECONCILIER</x:v>
      </x:c>
    </x:row>
    <x:row r="15">
      <x:c r="A15" s="14" t="n">
        <x:v>12</x:v>
      </x:c>
      <x:c r="B15" s="14" t="str">
        <x:v>Bas-Uele</x:v>
      </x:c>
      <x:c r="C15" s="14" t="n">
        <x:v>4</x:v>
      </x:c>
      <x:c r="D15" s="14" t="n">
        <x:v>46</x:v>
      </x:c>
      <x:c r="E15" s="14" t="n">
        <x:f>C15+D15</x:f>
        <x:v>50</x:v>
      </x:c>
      <x:c r="F15" s="14" t="n">
        <x:v>7</x:v>
      </x:c>
      <x:c r="G15" s="14" t="n">
        <x:v>42</x:v>
      </x:c>
      <x:c r="H15" s="14" t="n">
        <x:f>F15+G15</x:f>
        <x:v>49</x:v>
      </x:c>
      <x:c r="I15" s="14" t="n">
        <x:f>F15-C15</x:f>
        <x:v>3</x:v>
      </x:c>
      <x:c r="J15" s="14" t="n">
        <x:f>G15-D15</x:f>
        <x:v>-4</x:v>
      </x:c>
      <x:c r="K15" s="14" t="n">
        <x:f>H15-E15</x:f>
        <x:v>-1</x:v>
      </x:c>
      <x:c r="L15" s="14" t="str">
        <x:f>IF(AND(I15=0,J15=0),"STABLE_AGREGAT","A_RECONCILIER")</x:f>
        <x:v>A_RECONCILIER</x:v>
      </x:c>
    </x:row>
    <x:row r="16">
      <x:c r="A16" s="14" t="n">
        <x:v>13</x:v>
      </x:c>
      <x:c r="B16" s="14" t="str">
        <x:v>Haut-Uele</x:v>
      </x:c>
      <x:c r="C16" s="14" t="n">
        <x:v>3</x:v>
      </x:c>
      <x:c r="D16" s="14" t="n">
        <x:v>42</x:v>
      </x:c>
      <x:c r="E16" s="14" t="n">
        <x:f>C16+D16</x:f>
        <x:v>45</x:v>
      </x:c>
      <x:c r="F16" s="14" t="n">
        <x:v>4</x:v>
      </x:c>
      <x:c r="G16" s="14" t="n">
        <x:v>40</x:v>
      </x:c>
      <x:c r="H16" s="14" t="n">
        <x:f>F16+G16</x:f>
        <x:v>44</x:v>
      </x:c>
      <x:c r="I16" s="14" t="n">
        <x:f>F16-C16</x:f>
        <x:v>1</x:v>
      </x:c>
      <x:c r="J16" s="14" t="n">
        <x:f>G16-D16</x:f>
        <x:v>-2</x:v>
      </x:c>
      <x:c r="K16" s="14" t="n">
        <x:f>H16-E16</x:f>
        <x:v>-1</x:v>
      </x:c>
      <x:c r="L16" s="14" t="str">
        <x:f>IF(AND(I16=0,J16=0),"STABLE_AGREGAT","A_RECONCILIER")</x:f>
        <x:v>A_RECONCILIER</x:v>
      </x:c>
    </x:row>
    <x:row r="17">
      <x:c r="A17" s="14" t="n">
        <x:v>14</x:v>
      </x:c>
      <x:c r="B17" s="14" t="str">
        <x:v>Ituri</x:v>
      </x:c>
      <x:c r="C17" s="14" t="n">
        <x:v>5</x:v>
      </x:c>
      <x:c r="D17" s="14" t="n">
        <x:v>41</x:v>
      </x:c>
      <x:c r="E17" s="14" t="n">
        <x:f>C17+D17</x:f>
        <x:v>46</x:v>
      </x:c>
      <x:c r="F17" s="14" t="n">
        <x:v>6</x:v>
      </x:c>
      <x:c r="G17" s="14" t="n">
        <x:v>42</x:v>
      </x:c>
      <x:c r="H17" s="14" t="n">
        <x:f>F17+G17</x:f>
        <x:v>48</x:v>
      </x:c>
      <x:c r="I17" s="14" t="n">
        <x:f>F17-C17</x:f>
        <x:v>1</x:v>
      </x:c>
      <x:c r="J17" s="14" t="n">
        <x:f>G17-D17</x:f>
        <x:v>1</x:v>
      </x:c>
      <x:c r="K17" s="14" t="n">
        <x:f>H17-E17</x:f>
        <x:v>2</x:v>
      </x:c>
      <x:c r="L17" s="14" t="str">
        <x:f>IF(AND(I17=0,J17=0),"STABLE_AGREGAT","A_RECONCILIER")</x:f>
        <x:v>A_RECONCILIER</x:v>
      </x:c>
    </x:row>
    <x:row r="18">
      <x:c r="A18" s="14" t="n">
        <x:v>15</x:v>
      </x:c>
      <x:c r="B18" s="14" t="str">
        <x:v>Nord-Kivu</x:v>
      </x:c>
      <x:c r="C18" s="14" t="n">
        <x:v>7</x:v>
      </x:c>
      <x:c r="D18" s="14" t="n">
        <x:v>10</x:v>
      </x:c>
      <x:c r="E18" s="14" t="n">
        <x:f>C18+D18</x:f>
        <x:v>17</x:v>
      </x:c>
      <x:c r="F18" s="14" t="n">
        <x:v>7</x:v>
      </x:c>
      <x:c r="G18" s="14" t="n">
        <x:v>10</x:v>
      </x:c>
      <x:c r="H18" s="14" t="n">
        <x:f>F18+G18</x:f>
        <x:v>17</x:v>
      </x:c>
      <x:c r="I18" s="14" t="n">
        <x:f>F18-C18</x:f>
        <x:v>0</x:v>
      </x:c>
      <x:c r="J18" s="14" t="n">
        <x:f>G18-D18</x:f>
        <x:v>0</x:v>
      </x:c>
      <x:c r="K18" s="14" t="n">
        <x:f>H18-E18</x:f>
        <x:v>0</x:v>
      </x:c>
      <x:c r="L18" s="14" t="str">
        <x:f>IF(AND(I18=0,J18=0),"STABLE_AGREGAT","A_RECONCILIER")</x:f>
        <x:v>STABLE_AGREGAT</x:v>
      </x:c>
    </x:row>
    <x:row r="19">
      <x:c r="A19" s="14" t="n">
        <x:v>16</x:v>
      </x:c>
      <x:c r="B19" s="14" t="str">
        <x:v>Sud-Kivu</x:v>
      </x:c>
      <x:c r="C19" s="14" t="n">
        <x:v>5</x:v>
      </x:c>
      <x:c r="D19" s="14" t="n">
        <x:v>18</x:v>
      </x:c>
      <x:c r="E19" s="14" t="n">
        <x:f>C19+D19</x:f>
        <x:v>23</x:v>
      </x:c>
      <x:c r="F19" s="14" t="n">
        <x:v>5</x:v>
      </x:c>
      <x:c r="G19" s="14" t="n">
        <x:v>18</x:v>
      </x:c>
      <x:c r="H19" s="14" t="n">
        <x:f>F19+G19</x:f>
        <x:v>23</x:v>
      </x:c>
      <x:c r="I19" s="14" t="n">
        <x:f>F19-C19</x:f>
        <x:v>0</x:v>
      </x:c>
      <x:c r="J19" s="14" t="n">
        <x:f>G19-D19</x:f>
        <x:v>0</x:v>
      </x:c>
      <x:c r="K19" s="14" t="n">
        <x:f>H19-E19</x:f>
        <x:v>0</x:v>
      </x:c>
      <x:c r="L19" s="14" t="str">
        <x:f>IF(AND(I19=0,J19=0),"STABLE_AGREGAT","A_RECONCILIER")</x:f>
        <x:v>STABLE_AGREGAT</x:v>
      </x:c>
    </x:row>
    <x:row r="20">
      <x:c r="A20" s="14" t="n">
        <x:v>17</x:v>
      </x:c>
      <x:c r="B20" s="14" t="str">
        <x:v>Maniema</x:v>
      </x:c>
      <x:c r="C20" s="14" t="n">
        <x:v>21</x:v>
      </x:c>
      <x:c r="D20" s="14" t="n">
        <x:v>13</x:v>
      </x:c>
      <x:c r="E20" s="14" t="n">
        <x:f>C20+D20</x:f>
        <x:v>34</x:v>
      </x:c>
      <x:c r="F20" s="14" t="n">
        <x:v>21</x:v>
      </x:c>
      <x:c r="G20" s="14" t="n">
        <x:v>13</x:v>
      </x:c>
      <x:c r="H20" s="14" t="n">
        <x:f>F20+G20</x:f>
        <x:v>34</x:v>
      </x:c>
      <x:c r="I20" s="14" t="n">
        <x:f>F20-C20</x:f>
        <x:v>0</x:v>
      </x:c>
      <x:c r="J20" s="14" t="n">
        <x:f>G20-D20</x:f>
        <x:v>0</x:v>
      </x:c>
      <x:c r="K20" s="14" t="n">
        <x:f>H20-E20</x:f>
        <x:v>0</x:v>
      </x:c>
      <x:c r="L20" s="14" t="str">
        <x:f>IF(AND(I20=0,J20=0),"STABLE_AGREGAT","A_RECONCILIER")</x:f>
        <x:v>STABLE_AGREGAT</x:v>
      </x:c>
    </x:row>
    <x:row r="21">
      <x:c r="A21" s="14" t="n">
        <x:v>18</x:v>
      </x:c>
      <x:c r="B21" s="14" t="str">
        <x:v>Haut-Katanga</x:v>
      </x:c>
      <x:c r="C21" s="14" t="n">
        <x:v>14</x:v>
      </x:c>
      <x:c r="D21" s="14" t="n">
        <x:v>6</x:v>
      </x:c>
      <x:c r="E21" s="14" t="n">
        <x:f>C21+D21</x:f>
        <x:v>20</x:v>
      </x:c>
      <x:c r="F21" s="14" t="n">
        <x:v>13</x:v>
      </x:c>
      <x:c r="G21" s="14" t="n">
        <x:v>7</x:v>
      </x:c>
      <x:c r="H21" s="14" t="n">
        <x:f>F21+G21</x:f>
        <x:v>20</x:v>
      </x:c>
      <x:c r="I21" s="14" t="n">
        <x:f>F21-C21</x:f>
        <x:v>-1</x:v>
      </x:c>
      <x:c r="J21" s="14" t="n">
        <x:f>G21-D21</x:f>
        <x:v>1</x:v>
      </x:c>
      <x:c r="K21" s="14" t="n">
        <x:f>H21-E21</x:f>
        <x:v>0</x:v>
      </x:c>
      <x:c r="L21" s="14" t="str">
        <x:f>IF(AND(I21=0,J21=0),"STABLE_AGREGAT","A_RECONCILIER")</x:f>
        <x:v>A_RECONCILIER</x:v>
      </x:c>
    </x:row>
    <x:row r="22">
      <x:c r="A22" s="14" t="n">
        <x:v>19</x:v>
      </x:c>
      <x:c r="B22" s="14" t="str">
        <x:v>Lualaba</x:v>
      </x:c>
      <x:c r="C22" s="14" t="n">
        <x:v>6</x:v>
      </x:c>
      <x:c r="D22" s="14" t="n">
        <x:v>19</x:v>
      </x:c>
      <x:c r="E22" s="14" t="n">
        <x:f>C22+D22</x:f>
        <x:v>25</x:v>
      </x:c>
      <x:c r="F22" s="14" t="n">
        <x:v>6</x:v>
      </x:c>
      <x:c r="G22" s="14" t="n">
        <x:v>19</x:v>
      </x:c>
      <x:c r="H22" s="14" t="n">
        <x:f>F22+G22</x:f>
        <x:v>25</x:v>
      </x:c>
      <x:c r="I22" s="14" t="n">
        <x:f>F22-C22</x:f>
        <x:v>0</x:v>
      </x:c>
      <x:c r="J22" s="14" t="n">
        <x:f>G22-D22</x:f>
        <x:v>0</x:v>
      </x:c>
      <x:c r="K22" s="14" t="n">
        <x:f>H22-E22</x:f>
        <x:v>0</x:v>
      </x:c>
      <x:c r="L22" s="14" t="str">
        <x:f>IF(AND(I22=0,J22=0),"STABLE_AGREGAT","A_RECONCILIER")</x:f>
        <x:v>STABLE_AGREGAT</x:v>
      </x:c>
    </x:row>
    <x:row r="23">
      <x:c r="A23" s="14" t="n">
        <x:v>20</x:v>
      </x:c>
      <x:c r="B23" s="14" t="str">
        <x:v>Haut-Lomami</x:v>
      </x:c>
      <x:c r="C23" s="14" t="n">
        <x:v>5</x:v>
      </x:c>
      <x:c r="D23" s="14" t="n">
        <x:v>14</x:v>
      </x:c>
      <x:c r="E23" s="14" t="n">
        <x:f>C23+D23</x:f>
        <x:v>19</x:v>
      </x:c>
      <x:c r="F23" s="14" t="n">
        <x:v>6</x:v>
      </x:c>
      <x:c r="G23" s="14" t="n">
        <x:v>13</x:v>
      </x:c>
      <x:c r="H23" s="14" t="n">
        <x:f>F23+G23</x:f>
        <x:v>19</x:v>
      </x:c>
      <x:c r="I23" s="14" t="n">
        <x:f>F23-C23</x:f>
        <x:v>1</x:v>
      </x:c>
      <x:c r="J23" s="14" t="n">
        <x:f>G23-D23</x:f>
        <x:v>-1</x:v>
      </x:c>
      <x:c r="K23" s="14" t="n">
        <x:f>H23-E23</x:f>
        <x:v>0</x:v>
      </x:c>
      <x:c r="L23" s="14" t="str">
        <x:f>IF(AND(I23=0,J23=0),"STABLE_AGREGAT","A_RECONCILIER")</x:f>
        <x:v>A_RECONCILIER</x:v>
      </x:c>
    </x:row>
    <x:row r="24">
      <x:c r="A24" s="14" t="n">
        <x:v>21</x:v>
      </x:c>
      <x:c r="B24" s="14" t="str">
        <x:v>Tanganyika</x:v>
      </x:c>
      <x:c r="C24" s="14" t="n">
        <x:v>10</x:v>
      </x:c>
      <x:c r="D24" s="14" t="n">
        <x:v>18</x:v>
      </x:c>
      <x:c r="E24" s="14" t="n">
        <x:f>C24+D24</x:f>
        <x:v>28</x:v>
      </x:c>
      <x:c r="F24" s="14" t="n">
        <x:v>12</x:v>
      </x:c>
      <x:c r="G24" s="14" t="n">
        <x:v>17</x:v>
      </x:c>
      <x:c r="H24" s="14" t="n">
        <x:f>F24+G24</x:f>
        <x:v>29</x:v>
      </x:c>
      <x:c r="I24" s="14" t="n">
        <x:f>F24-C24</x:f>
        <x:v>2</x:v>
      </x:c>
      <x:c r="J24" s="14" t="n">
        <x:f>G24-D24</x:f>
        <x:v>-1</x:v>
      </x:c>
      <x:c r="K24" s="14" t="n">
        <x:f>H24-E24</x:f>
        <x:v>1</x:v>
      </x:c>
      <x:c r="L24" s="14" t="str">
        <x:f>IF(AND(I24=0,J24=0),"STABLE_AGREGAT","A_RECONCILIER")</x:f>
        <x:v>A_RECONCILIER</x:v>
      </x:c>
    </x:row>
    <x:row r="25">
      <x:c r="A25" s="14" t="n">
        <x:v>22</x:v>
      </x:c>
      <x:c r="B25" s="14" t="str">
        <x:v>Lomami</x:v>
      </x:c>
      <x:c r="C25" s="14" t="n">
        <x:v>16</x:v>
      </x:c>
      <x:c r="D25" s="14" t="n">
        <x:v>5</x:v>
      </x:c>
      <x:c r="E25" s="14" t="n">
        <x:f>C25+D25</x:f>
        <x:v>21</x:v>
      </x:c>
      <x:c r="F25" s="14" t="n">
        <x:v>16</x:v>
      </x:c>
      <x:c r="G25" s="14" t="n">
        <x:v>5</x:v>
      </x:c>
      <x:c r="H25" s="14" t="n">
        <x:f>F25+G25</x:f>
        <x:v>21</x:v>
      </x:c>
      <x:c r="I25" s="14" t="n">
        <x:f>F25-C25</x:f>
        <x:v>0</x:v>
      </x:c>
      <x:c r="J25" s="14" t="n">
        <x:f>G25-D25</x:f>
        <x:v>0</x:v>
      </x:c>
      <x:c r="K25" s="14" t="n">
        <x:f>H25-E25</x:f>
        <x:v>0</x:v>
      </x:c>
      <x:c r="L25" s="14" t="str">
        <x:f>IF(AND(I25=0,J25=0),"STABLE_AGREGAT","A_RECONCILIER")</x:f>
        <x:v>STABLE_AGREGAT</x:v>
      </x:c>
    </x:row>
    <x:row r="26">
      <x:c r="A26" s="14" t="n">
        <x:v>23</x:v>
      </x:c>
      <x:c r="B26" s="14" t="str">
        <x:v>Kasaï-Oriental</x:v>
      </x:c>
      <x:c r="C26" s="14" t="n">
        <x:v>20</x:v>
      </x:c>
      <x:c r="D26" s="14" t="n">
        <x:v>1</x:v>
      </x:c>
      <x:c r="E26" s="14" t="n">
        <x:f>C26+D26</x:f>
        <x:v>21</x:v>
      </x:c>
      <x:c r="F26" s="14" t="n">
        <x:v>16</x:v>
      </x:c>
      <x:c r="G26" s="14" t="n">
        <x:v>1</x:v>
      </x:c>
      <x:c r="H26" s="14" t="n">
        <x:f>F26+G26</x:f>
        <x:v>17</x:v>
      </x:c>
      <x:c r="I26" s="14" t="n">
        <x:f>F26-C26</x:f>
        <x:v>-4</x:v>
      </x:c>
      <x:c r="J26" s="14" t="n">
        <x:f>G26-D26</x:f>
        <x:v>0</x:v>
      </x:c>
      <x:c r="K26" s="14" t="n">
        <x:f>H26-E26</x:f>
        <x:v>-4</x:v>
      </x:c>
      <x:c r="L26" s="14" t="str">
        <x:f>IF(AND(I26=0,J26=0),"STABLE_AGREGAT","A_RECONCILIER")</x:f>
        <x:v>A_RECONCILIER</x:v>
      </x:c>
    </x:row>
    <x:row r="27">
      <x:c r="A27" s="14" t="n">
        <x:v>24</x:v>
      </x:c>
      <x:c r="B27" s="14" t="str">
        <x:v>Sankuru</x:v>
      </x:c>
      <x:c r="C27" s="14" t="n">
        <x:v>37</x:v>
      </x:c>
      <x:c r="D27" s="14" t="n">
        <x:v>1</x:v>
      </x:c>
      <x:c r="E27" s="14" t="n">
        <x:f>C27+D27</x:f>
        <x:v>38</x:v>
      </x:c>
      <x:c r="F27" s="14" t="n">
        <x:v>39</x:v>
      </x:c>
      <x:c r="G27" s="14" t="n">
        <x:v>2</x:v>
      </x:c>
      <x:c r="H27" s="14" t="n">
        <x:f>F27+G27</x:f>
        <x:v>41</x:v>
      </x:c>
      <x:c r="I27" s="14" t="n">
        <x:f>F27-C27</x:f>
        <x:v>2</x:v>
      </x:c>
      <x:c r="J27" s="14" t="n">
        <x:f>G27-D27</x:f>
        <x:v>1</x:v>
      </x:c>
      <x:c r="K27" s="14" t="n">
        <x:f>H27-E27</x:f>
        <x:v>3</x:v>
      </x:c>
      <x:c r="L27" s="14" t="str">
        <x:f>IF(AND(I27=0,J27=0),"STABLE_AGREGAT","A_RECONCILIER")</x:f>
        <x:v>A_RECONCILIER</x:v>
      </x:c>
    </x:row>
    <x:row r="28">
      <x:c r="A28" s="14" t="n">
        <x:v>25</x:v>
      </x:c>
      <x:c r="B28" s="14" t="str">
        <x:v>Kasaï-Central</x:v>
      </x:c>
      <x:c r="C28" s="14" t="n">
        <x:v>33</x:v>
      </x:c>
      <x:c r="D28" s="14" t="n">
        <x:v>0</x:v>
      </x:c>
      <x:c r="E28" s="14" t="n">
        <x:f>C28+D28</x:f>
        <x:v>33</x:v>
      </x:c>
      <x:c r="F28" s="14" t="n">
        <x:v>33</x:v>
      </x:c>
      <x:c r="G28" s="14" t="n">
        <x:v>0</x:v>
      </x:c>
      <x:c r="H28" s="14" t="n">
        <x:f>F28+G28</x:f>
        <x:v>33</x:v>
      </x:c>
      <x:c r="I28" s="14" t="n">
        <x:f>F28-C28</x:f>
        <x:v>0</x:v>
      </x:c>
      <x:c r="J28" s="14" t="n">
        <x:f>G28-D28</x:f>
        <x:v>0</x:v>
      </x:c>
      <x:c r="K28" s="14" t="n">
        <x:f>H28-E28</x:f>
        <x:v>0</x:v>
      </x:c>
      <x:c r="L28" s="14" t="str">
        <x:f>IF(AND(I28=0,J28=0),"STABLE_AGREGAT","A_RECONCILIER")</x:f>
        <x:v>STABLE_AGREGAT</x:v>
      </x:c>
    </x:row>
    <x:row r="29">
      <x:c r="A29" s="14" t="n">
        <x:v>26</x:v>
      </x:c>
      <x:c r="B29" s="14" t="str">
        <x:v>Kasaï</x:v>
      </x:c>
      <x:c r="C29" s="14" t="n">
        <x:v>17</x:v>
      </x:c>
      <x:c r="D29" s="14" t="n">
        <x:v>3</x:v>
      </x:c>
      <x:c r="E29" s="14" t="n">
        <x:f>C29+D29</x:f>
        <x:v>20</x:v>
      </x:c>
      <x:c r="F29" s="14" t="n">
        <x:v>17</x:v>
      </x:c>
      <x:c r="G29" s="14" t="n">
        <x:v>3</x:v>
      </x:c>
      <x:c r="H29" s="14" t="n">
        <x:f>F29+G29</x:f>
        <x:v>20</x:v>
      </x:c>
      <x:c r="I29" s="14" t="n">
        <x:f>F29-C29</x:f>
        <x:v>0</x:v>
      </x:c>
      <x:c r="J29" s="14" t="n">
        <x:f>G29-D29</x:f>
        <x:v>0</x:v>
      </x:c>
      <x:c r="K29" s="14" t="n">
        <x:f>H29-E29</x:f>
        <x:v>0</x:v>
      </x:c>
      <x:c r="L29" s="14" t="str">
        <x:f>IF(AND(I29=0,J29=0),"STABLE_AGREGAT","A_RECONCILIER")</x:f>
        <x:v>STABLE_AGREGAT</x:v>
      </x:c>
    </x:row>
  </x:sheetData>
  <x:mergeCells>
    <x:mergeCell ref="A1:L1"/>
    <x:mergeCell ref="A2:L2"/>
  </x:mergeCells>
  <x:conditionalFormatting sqref="L4:L29">
    <x:cfRule type="expression" dxfId="0" priority="1">
      <x:formula>L4="A_RECONCILIER"</x:formula>
    </x:cfRule>
    <x:cfRule type="expression" dxfId="1" priority="2">
      <x:formula>L4="STABLE_AGREGAT"</x:formula>
    </x:cfRule>
  </x:conditionalFormatting>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8" hidden="0" customWidth="1"/>
    <x:col min="3" max="3" width="15" hidden="0" customWidth="1"/>
    <x:col min="4" max="4" width="18" hidden="0" customWidth="1"/>
    <x:col min="5" max="5" width="18" hidden="0" customWidth="1"/>
    <x:col min="6" max="6" width="15" hidden="0" customWidth="1"/>
    <x:col min="7" max="7" width="18" hidden="0" customWidth="1"/>
    <x:col min="8" max="8" width="15" hidden="0" customWidth="1"/>
    <x:col min="9" max="9" width="24" hidden="0" customWidth="1"/>
    <x:col min="10" max="10" width="16" hidden="0" customWidth="1"/>
    <x:col min="11" max="11" width="24" hidden="0" customWidth="1"/>
    <x:col min="12" max="12" width="11" hidden="0" customWidth="1"/>
    <x:col min="13" max="13" width="14" hidden="0" customWidth="1"/>
    <x:col min="14" max="14" width="18" hidden="0" customWidth="1"/>
    <x:col min="15" max="15" width="14" hidden="0" customWidth="1"/>
    <x:col min="16" max="16" width="12" hidden="0" customWidth="1"/>
    <x:col min="17" max="17" width="12" hidden="0" customWidth="1"/>
    <x:col min="18" max="18" width="12" hidden="0" customWidth="1"/>
    <x:col min="19" max="19" width="18" hidden="0" customWidth="1"/>
    <x:col min="20" max="20" width="26" hidden="0" customWidth="1"/>
  </x:cols>
  <x:sheetData>
    <x:row r="1">
      <x:c r="A1" s="36" t="str">
        <x:v>Staging GRID3 — Settlement Names v9.0 (août 2026)</x:v>
      </x:c>
      <x:c r="B1" s="36"/>
      <x:c r="C1" s="36"/>
      <x:c r="D1" s="36"/>
      <x:c r="E1" s="36"/>
      <x:c r="F1" s="36"/>
      <x:c r="G1" s="36"/>
      <x:c r="H1" s="36"/>
      <x:c r="I1" s="36"/>
      <x:c r="J1" s="36"/>
      <x:c r="K1" s="36"/>
      <x:c r="L1" s="36"/>
      <x:c r="M1" s="36"/>
      <x:c r="N1" s="36"/>
      <x:c r="O1" s="36"/>
      <x:c r="P1" s="36"/>
      <x:c r="Q1" s="36"/>
      <x:c r="R1" s="36"/>
      <x:c r="S1" s="36"/>
      <x:c r="T1" s="36"/>
    </x:row>
    <x:row r="2">
      <x:c r="A2" s="39" t="str">
        <x:v>Zone d’import pour le jeu GRID3 récent. Les points de localité seront géolocalisés ici puis rapprochés de la hiérarchie administrative RGC avant promotion vers la table Villages. Une coordonnée GRID3 seule ne vaut pas validation administrative.</x:v>
      </x:c>
      <x:c r="B2" s="39"/>
      <x:c r="C2" s="39"/>
      <x:c r="D2" s="39"/>
      <x:c r="E2" s="39"/>
      <x:c r="F2" s="39"/>
      <x:c r="G2" s="39"/>
      <x:c r="H2" s="39"/>
      <x:c r="I2" s="39"/>
      <x:c r="J2" s="39"/>
      <x:c r="K2" s="39"/>
      <x:c r="L2" s="39"/>
      <x:c r="M2" s="39"/>
      <x:c r="N2" s="39"/>
      <x:c r="O2" s="39"/>
      <x:c r="P2" s="39"/>
      <x:c r="Q2" s="39"/>
      <x:c r="R2" s="39"/>
      <x:c r="S2" s="39"/>
      <x:c r="T2" s="39"/>
    </x:row>
    <x:row r="3">
      <x:c r="A3" s="40" t="str">
        <x:v>grid3id</x:v>
      </x:c>
      <x:c r="B3" s="40" t="str">
        <x:v>province</x:v>
      </x:c>
      <x:c r="C3" s="40" t="str">
        <x:v>prov_uid</x:v>
      </x:c>
      <x:c r="D3" s="40" t="str">
        <x:v>antenne</x:v>
      </x:c>
      <x:c r="E3" s="40" t="str">
        <x:v>zone_sante</x:v>
      </x:c>
      <x:c r="F3" s="40" t="str">
        <x:v>zs_uid</x:v>
      </x:c>
      <x:c r="G3" s="40" t="str">
        <x:v>aire_sante</x:v>
      </x:c>
      <x:c r="H3" s="40" t="str">
        <x:v>as_uid</x:v>
      </x:c>
      <x:c r="I3" s="40" t="str">
        <x:v>localite</x:v>
      </x:c>
      <x:c r="J3" s="40" t="str">
        <x:v>type_localite</x:v>
      </x:c>
      <x:c r="K3" s="40" t="str">
        <x:v>localite_alt</x:v>
      </x:c>
      <x:c r="L3" s="40" t="str">
        <x:v>enclav</x:v>
      </x:c>
      <x:c r="M3" s="40" t="str">
        <x:v>enclavdate</x:v>
      </x:c>
      <x:c r="N3" s="40" t="str">
        <x:v>source_acronym</x:v>
      </x:c>
      <x:c r="O3" s="40" t="str">
        <x:v>date_source</x:v>
      </x:c>
      <x:c r="P3" s="40" t="str">
        <x:v>latitude</x:v>
      </x:c>
      <x:c r="Q3" s="40" t="str">
        <x:v>longitude</x:v>
      </x:c>
      <x:c r="R3" s="40" t="str">
        <x:v>precision</x:v>
      </x:c>
      <x:c r="S3" s="40" t="str">
        <x:v>sourceid</x:v>
      </x:c>
      <x:c r="T3" s="40" t="str">
        <x:v>statut_liaison_admin</x:v>
      </x:c>
    </x:row>
  </x:sheetData>
  <x:mergeCells>
    <x:mergeCell ref="A1:T1"/>
    <x:mergeCell ref="A2:T2"/>
  </x:mergeCell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0" hidden="0" customWidth="1"/>
    <x:col min="3" max="3" width="20" hidden="0" customWidth="1"/>
    <x:col min="4" max="4" width="20" hidden="0" customWidth="1"/>
    <x:col min="5" max="5" width="18" hidden="0" customWidth="1"/>
    <x:col min="6" max="6" width="18" hidden="0" customWidth="1"/>
    <x:col min="7" max="7" width="16" hidden="0" customWidth="1"/>
    <x:col min="8" max="8" width="18" hidden="0" customWidth="1"/>
    <x:col min="9" max="9" width="18" hidden="0" customWidth="1"/>
    <x:col min="10" max="10" width="10" hidden="0" customWidth="1"/>
    <x:col min="11" max="11" width="12" hidden="0" customWidth="1"/>
    <x:col min="12" max="12" width="30" hidden="0" customWidth="1"/>
  </x:cols>
  <x:sheetData>
    <x:row r="1" ht="28" customHeight="1">
      <x:c r="A1" s="62" t="str">
        <x:v>Phase 2B — Référence de contrôle des groupements et villages</x:v>
      </x:c>
      <x:c r="B1" s="62"/>
      <x:c r="C1" s="62"/>
      <x:c r="D1" s="62"/>
      <x:c r="E1" s="62"/>
      <x:c r="F1" s="62"/>
      <x:c r="G1" s="62"/>
      <x:c r="H1" s="62"/>
      <x:c r="I1" s="62"/>
      <x:c r="J1" s="62"/>
      <x:c r="K1" s="62"/>
      <x:c r="L1" s="62"/>
    </x:row>
    <x:row r="2" ht="34" customHeight="1">
      <x:c r="A2" s="66" t="str">
        <x:v>Référence historique CENI issue de la nomenclature stabilisée : elle sert au contrôle de couverture et ne vaut pas certification de la nomenclature 2026.</x:v>
      </x:c>
      <x:c r="B2" s="66"/>
      <x:c r="C2" s="66"/>
      <x:c r="D2" s="66"/>
      <x:c r="E2" s="66"/>
      <x:c r="F2" s="66"/>
      <x:c r="G2" s="66"/>
      <x:c r="H2" s="66"/>
      <x:c r="I2" s="66"/>
      <x:c r="J2" s="66"/>
      <x:c r="K2" s="66"/>
      <x:c r="L2" s="66"/>
    </x:row>
    <x:row r="3" ht="34" customHeight="1">
      <x:c r="A3" s="71" t="str">
        <x:v>province_id</x:v>
      </x:c>
      <x:c r="B3" s="71" t="str">
        <x:v>province</x:v>
      </x:c>
      <x:c r="C3" s="71" t="str">
        <x:v>groupements_reference_ceni</x:v>
      </x:c>
      <x:c r="D3" s="71" t="str">
        <x:v>villages_reference_ceni</x:v>
      </x:c>
      <x:c r="E3" s="71" t="str">
        <x:v>villages_par_groupement</x:v>
      </x:c>
      <x:c r="F3" s="71" t="str">
        <x:v>groupements_charges</x:v>
      </x:c>
      <x:c r="G3" s="71" t="str">
        <x:v>villages_valides</x:v>
      </x:c>
      <x:c r="H3" s="71" t="str">
        <x:v>couverture_groupements</x:v>
      </x:c>
      <x:c r="I3" s="71" t="str">
        <x:v>couverture_villages</x:v>
      </x:c>
      <x:c r="J3" s="71" t="str">
        <x:v>source_id</x:v>
      </x:c>
      <x:c r="K3" s="71" t="str">
        <x:v>millesime</x:v>
      </x:c>
      <x:c r="L3" s="71" t="str">
        <x:v>statut_usage</x:v>
      </x:c>
    </x:row>
    <x:row r="4">
      <x:c r="A4" s="14" t="n">
        <x:v>1</x:v>
      </x:c>
      <x:c r="B4" s="14" t="str">
        <x:v>Kinshasa</x:v>
      </x:c>
      <x:c r="C4" s="14" t="n">
        <x:v>0</x:v>
      </x:c>
      <x:c r="D4" s="14" t="n">
        <x:v>0</x:v>
      </x:c>
      <x:c r="E4" s="79" t="str">
        <x:f>IF(C4=0,"",D4/C4)</x:f>
      </x:c>
      <x:c r="F4" s="14" t="n">
        <x:v>0</x:v>
      </x:c>
      <x:c r="G4" s="14" t="n">
        <x:v>0</x:v>
      </x:c>
      <x:c r="H4" s="80" t="str">
        <x:f>IF(C4=0,"—",F4/C4)</x:f>
        <x:v>—</x:v>
      </x:c>
      <x:c r="I4" s="80" t="str">
        <x:f>IF(D4=0,"—",G4/D4)</x:f>
        <x:v>—</x:v>
      </x:c>
      <x:c r="J4" s="14" t="str">
        <x:v>S13</x:v>
      </x:c>
      <x:c r="K4" s="14" t="str">
        <x:v>2015–2018</x:v>
      </x:c>
      <x:c r="L4" s="14" t="str">
        <x:v>REFERENCE_CONTROLE_HISTORIQUE</x:v>
      </x:c>
    </x:row>
    <x:row r="5">
      <x:c r="A5" s="14" t="n">
        <x:v>2</x:v>
      </x:c>
      <x:c r="B5" s="14" t="str">
        <x:v>Kongo Central</x:v>
      </x:c>
      <x:c r="C5" s="14" t="n">
        <x:v>376</x:v>
      </x:c>
      <x:c r="D5" s="14" t="n">
        <x:v>7888</x:v>
      </x:c>
      <x:c r="E5" s="79" t="n">
        <x:f>IF(C5=0,"",D5/C5)</x:f>
        <x:v>20.97872340425532</x:v>
      </x:c>
      <x:c r="F5" s="14" t="n">
        <x:v>0</x:v>
      </x:c>
      <x:c r="G5" s="14" t="n">
        <x:v>0</x:v>
      </x:c>
      <x:c r="H5" s="80" t="n">
        <x:f>IF(C5=0,"—",F5/C5)</x:f>
        <x:v>0</x:v>
      </x:c>
      <x:c r="I5" s="80" t="n">
        <x:f>IF(D5=0,"—",G5/D5)</x:f>
        <x:v>0</x:v>
      </x:c>
      <x:c r="J5" s="14" t="str">
        <x:v>S13</x:v>
      </x:c>
      <x:c r="K5" s="14" t="str">
        <x:v>2015–2018</x:v>
      </x:c>
      <x:c r="L5" s="14" t="str">
        <x:v>REFERENCE_CONTROLE_HISTORIQUE</x:v>
      </x:c>
    </x:row>
    <x:row r="6">
      <x:c r="A6" s="14" t="n">
        <x:v>3</x:v>
      </x:c>
      <x:c r="B6" s="14" t="str">
        <x:v>Kwango</x:v>
      </x:c>
      <x:c r="C6" s="14" t="n">
        <x:v>242</x:v>
      </x:c>
      <x:c r="D6" s="14" t="n">
        <x:v>8380</x:v>
      </x:c>
      <x:c r="E6" s="79" t="n">
        <x:f>IF(C6=0,"",D6/C6)</x:f>
        <x:v>34.62809917355372</x:v>
      </x:c>
      <x:c r="F6" s="14" t="n">
        <x:v>0</x:v>
      </x:c>
      <x:c r="G6" s="14" t="n">
        <x:v>0</x:v>
      </x:c>
      <x:c r="H6" s="80" t="n">
        <x:f>IF(C6=0,"—",F6/C6)</x:f>
        <x:v>0</x:v>
      </x:c>
      <x:c r="I6" s="80" t="n">
        <x:f>IF(D6=0,"—",G6/D6)</x:f>
        <x:v>0</x:v>
      </x:c>
      <x:c r="J6" s="14" t="str">
        <x:v>S13</x:v>
      </x:c>
      <x:c r="K6" s="14" t="str">
        <x:v>2015–2018</x:v>
      </x:c>
      <x:c r="L6" s="14" t="str">
        <x:v>REFERENCE_CONTROLE_HISTORIQUE</x:v>
      </x:c>
    </x:row>
    <x:row r="7">
      <x:c r="A7" s="14" t="n">
        <x:v>4</x:v>
      </x:c>
      <x:c r="B7" s="14" t="str">
        <x:v>Kwilu</x:v>
      </x:c>
      <x:c r="C7" s="14" t="n">
        <x:v>502</x:v>
      </x:c>
      <x:c r="D7" s="14" t="n">
        <x:v>6167</x:v>
      </x:c>
      <x:c r="E7" s="79" t="n">
        <x:f>IF(C7=0,"",D7/C7)</x:f>
        <x:v>12.284860557768924</x:v>
      </x:c>
      <x:c r="F7" s="14" t="n">
        <x:v>0</x:v>
      </x:c>
      <x:c r="G7" s="14" t="n">
        <x:v>0</x:v>
      </x:c>
      <x:c r="H7" s="80" t="n">
        <x:f>IF(C7=0,"—",F7/C7)</x:f>
        <x:v>0</x:v>
      </x:c>
      <x:c r="I7" s="80" t="n">
        <x:f>IF(D7=0,"—",G7/D7)</x:f>
        <x:v>0</x:v>
      </x:c>
      <x:c r="J7" s="14" t="str">
        <x:v>S13</x:v>
      </x:c>
      <x:c r="K7" s="14" t="str">
        <x:v>2015–2018</x:v>
      </x:c>
      <x:c r="L7" s="14" t="str">
        <x:v>REFERENCE_CONTROLE_HISTORIQUE</x:v>
      </x:c>
    </x:row>
    <x:row r="8">
      <x:c r="A8" s="14" t="n">
        <x:v>5</x:v>
      </x:c>
      <x:c r="B8" s="14" t="str">
        <x:v>Mai-Ndombe</x:v>
      </x:c>
      <x:c r="C8" s="14" t="n">
        <x:v>54</x:v>
      </x:c>
      <x:c r="D8" s="14" t="n">
        <x:v>1724</x:v>
      </x:c>
      <x:c r="E8" s="79" t="n">
        <x:f>IF(C8=0,"",D8/C8)</x:f>
        <x:v>31.925925925925927</x:v>
      </x:c>
      <x:c r="F8" s="14" t="n">
        <x:v>0</x:v>
      </x:c>
      <x:c r="G8" s="14" t="n">
        <x:v>0</x:v>
      </x:c>
      <x:c r="H8" s="80" t="n">
        <x:f>IF(C8=0,"—",F8/C8)</x:f>
        <x:v>0</x:v>
      </x:c>
      <x:c r="I8" s="80" t="n">
        <x:f>IF(D8=0,"—",G8/D8)</x:f>
        <x:v>0</x:v>
      </x:c>
      <x:c r="J8" s="14" t="str">
        <x:v>S13</x:v>
      </x:c>
      <x:c r="K8" s="14" t="str">
        <x:v>2015–2018</x:v>
      </x:c>
      <x:c r="L8" s="14" t="str">
        <x:v>REFERENCE_CONTROLE_HISTORIQUE</x:v>
      </x:c>
    </x:row>
    <x:row r="9">
      <x:c r="A9" s="14" t="n">
        <x:v>6</x:v>
      </x:c>
      <x:c r="B9" s="14" t="str">
        <x:v>Équateur</x:v>
      </x:c>
      <x:c r="C9" s="14" t="n">
        <x:v>131</x:v>
      </x:c>
      <x:c r="D9" s="14" t="n">
        <x:v>2062</x:v>
      </x:c>
      <x:c r="E9" s="79" t="n">
        <x:f>IF(C9=0,"",D9/C9)</x:f>
        <x:v>15.740458015267176</x:v>
      </x:c>
      <x:c r="F9" s="14" t="n">
        <x:v>0</x:v>
      </x:c>
      <x:c r="G9" s="14" t="n">
        <x:v>0</x:v>
      </x:c>
      <x:c r="H9" s="80" t="n">
        <x:f>IF(C9=0,"—",F9/C9)</x:f>
        <x:v>0</x:v>
      </x:c>
      <x:c r="I9" s="80" t="n">
        <x:f>IF(D9=0,"—",G9/D9)</x:f>
        <x:v>0</x:v>
      </x:c>
      <x:c r="J9" s="14" t="str">
        <x:v>S13</x:v>
      </x:c>
      <x:c r="K9" s="14" t="str">
        <x:v>2015–2018</x:v>
      </x:c>
      <x:c r="L9" s="14" t="str">
        <x:v>REFERENCE_CONTROLE_HISTORIQUE</x:v>
      </x:c>
    </x:row>
    <x:row r="10">
      <x:c r="A10" s="14" t="n">
        <x:v>7</x:v>
      </x:c>
      <x:c r="B10" s="14" t="str">
        <x:v>Sud-Ubangi</x:v>
      </x:c>
      <x:c r="C10" s="14" t="n">
        <x:v>192</x:v>
      </x:c>
      <x:c r="D10" s="14" t="n">
        <x:v>1867</x:v>
      </x:c>
      <x:c r="E10" s="79" t="n">
        <x:f>IF(C10=0,"",D10/C10)</x:f>
        <x:v>9.723958333333334</x:v>
      </x:c>
      <x:c r="F10" s="14" t="n">
        <x:v>0</x:v>
      </x:c>
      <x:c r="G10" s="14" t="n">
        <x:v>0</x:v>
      </x:c>
      <x:c r="H10" s="80" t="n">
        <x:f>IF(C10=0,"—",F10/C10)</x:f>
        <x:v>0</x:v>
      </x:c>
      <x:c r="I10" s="80" t="n">
        <x:f>IF(D10=0,"—",G10/D10)</x:f>
        <x:v>0</x:v>
      </x:c>
      <x:c r="J10" s="14" t="str">
        <x:v>S13</x:v>
      </x:c>
      <x:c r="K10" s="14" t="str">
        <x:v>2015–2018</x:v>
      </x:c>
      <x:c r="L10" s="14" t="str">
        <x:v>REFERENCE_CONTROLE_HISTORIQUE</x:v>
      </x:c>
    </x:row>
    <x:row r="11">
      <x:c r="A11" s="14" t="n">
        <x:v>8</x:v>
      </x:c>
      <x:c r="B11" s="14" t="str">
        <x:v>Nord-Ubangi</x:v>
      </x:c>
      <x:c r="C11" s="14" t="n">
        <x:v>122</x:v>
      </x:c>
      <x:c r="D11" s="14" t="n">
        <x:v>1255</x:v>
      </x:c>
      <x:c r="E11" s="79" t="n">
        <x:f>IF(C11=0,"",D11/C11)</x:f>
        <x:v>10.28688524590164</x:v>
      </x:c>
      <x:c r="F11" s="14" t="n">
        <x:v>0</x:v>
      </x:c>
      <x:c r="G11" s="14" t="n">
        <x:v>0</x:v>
      </x:c>
      <x:c r="H11" s="80" t="n">
        <x:f>IF(C11=0,"—",F11/C11)</x:f>
        <x:v>0</x:v>
      </x:c>
      <x:c r="I11" s="80" t="n">
        <x:f>IF(D11=0,"—",G11/D11)</x:f>
        <x:v>0</x:v>
      </x:c>
      <x:c r="J11" s="14" t="str">
        <x:v>S13</x:v>
      </x:c>
      <x:c r="K11" s="14" t="str">
        <x:v>2015–2018</x:v>
      </x:c>
      <x:c r="L11" s="14" t="str">
        <x:v>REFERENCE_CONTROLE_HISTORIQUE</x:v>
      </x:c>
    </x:row>
    <x:row r="12">
      <x:c r="A12" s="14" t="n">
        <x:v>9</x:v>
      </x:c>
      <x:c r="B12" s="14" t="str">
        <x:v>Mongala</x:v>
      </x:c>
      <x:c r="C12" s="14" t="n">
        <x:v>174</x:v>
      </x:c>
      <x:c r="D12" s="14" t="n">
        <x:v>1930</x:v>
      </x:c>
      <x:c r="E12" s="79" t="n">
        <x:f>IF(C12=0,"",D12/C12)</x:f>
        <x:v>11.091954022988507</x:v>
      </x:c>
      <x:c r="F12" s="14" t="n">
        <x:v>0</x:v>
      </x:c>
      <x:c r="G12" s="14" t="n">
        <x:v>0</x:v>
      </x:c>
      <x:c r="H12" s="80" t="n">
        <x:f>IF(C12=0,"—",F12/C12)</x:f>
        <x:v>0</x:v>
      </x:c>
      <x:c r="I12" s="80" t="n">
        <x:f>IF(D12=0,"—",G12/D12)</x:f>
        <x:v>0</x:v>
      </x:c>
      <x:c r="J12" s="14" t="str">
        <x:v>S13</x:v>
      </x:c>
      <x:c r="K12" s="14" t="str">
        <x:v>2015–2018</x:v>
      </x:c>
      <x:c r="L12" s="14" t="str">
        <x:v>REFERENCE_CONTROLE_HISTORIQUE</x:v>
      </x:c>
    </x:row>
    <x:row r="13">
      <x:c r="A13" s="14" t="n">
        <x:v>10</x:v>
      </x:c>
      <x:c r="B13" s="14" t="str">
        <x:v>Tshuapa</x:v>
      </x:c>
      <x:c r="C13" s="14" t="n">
        <x:v>182</x:v>
      </x:c>
      <x:c r="D13" s="14" t="n">
        <x:v>1837</x:v>
      </x:c>
      <x:c r="E13" s="79" t="n">
        <x:f>IF(C13=0,"",D13/C13)</x:f>
        <x:v>10.093406593406593</x:v>
      </x:c>
      <x:c r="F13" s="14" t="n">
        <x:v>0</x:v>
      </x:c>
      <x:c r="G13" s="14" t="n">
        <x:v>0</x:v>
      </x:c>
      <x:c r="H13" s="80" t="n">
        <x:f>IF(C13=0,"—",F13/C13)</x:f>
        <x:v>0</x:v>
      </x:c>
      <x:c r="I13" s="80" t="n">
        <x:f>IF(D13=0,"—",G13/D13)</x:f>
        <x:v>0</x:v>
      </x:c>
      <x:c r="J13" s="14" t="str">
        <x:v>S13</x:v>
      </x:c>
      <x:c r="K13" s="14" t="str">
        <x:v>2015–2018</x:v>
      </x:c>
      <x:c r="L13" s="14" t="str">
        <x:v>REFERENCE_CONTROLE_HISTORIQUE</x:v>
      </x:c>
    </x:row>
    <x:row r="14">
      <x:c r="A14" s="14" t="n">
        <x:v>11</x:v>
      </x:c>
      <x:c r="B14" s="14" t="str">
        <x:v>Tshopo</x:v>
      </x:c>
      <x:c r="C14" s="14" t="n">
        <x:v>269</x:v>
      </x:c>
      <x:c r="D14" s="14" t="n">
        <x:v>2579</x:v>
      </x:c>
      <x:c r="E14" s="79" t="n">
        <x:f>IF(C14=0,"",D14/C14)</x:f>
        <x:v>9.58736059479554</x:v>
      </x:c>
      <x:c r="F14" s="14" t="n">
        <x:v>0</x:v>
      </x:c>
      <x:c r="G14" s="14" t="n">
        <x:v>0</x:v>
      </x:c>
      <x:c r="H14" s="80" t="n">
        <x:f>IF(C14=0,"—",F14/C14)</x:f>
        <x:v>0</x:v>
      </x:c>
      <x:c r="I14" s="80" t="n">
        <x:f>IF(D14=0,"—",G14/D14)</x:f>
        <x:v>0</x:v>
      </x:c>
      <x:c r="J14" s="14" t="str">
        <x:v>S13</x:v>
      </x:c>
      <x:c r="K14" s="14" t="str">
        <x:v>2015–2018</x:v>
      </x:c>
      <x:c r="L14" s="14" t="str">
        <x:v>REFERENCE_CONTROLE_HISTORIQUE</x:v>
      </x:c>
    </x:row>
    <x:row r="15">
      <x:c r="A15" s="14" t="n">
        <x:v>12</x:v>
      </x:c>
      <x:c r="B15" s="14" t="str">
        <x:v>Bas-Uele</x:v>
      </x:c>
      <x:c r="C15" s="14" t="n">
        <x:v>331</x:v>
      </x:c>
      <x:c r="D15" s="14" t="n">
        <x:v>1527</x:v>
      </x:c>
      <x:c r="E15" s="79" t="n">
        <x:f>IF(C15=0,"",D15/C15)</x:f>
        <x:v>4.613293051359516</x:v>
      </x:c>
      <x:c r="F15" s="14" t="n">
        <x:v>0</x:v>
      </x:c>
      <x:c r="G15" s="14" t="n">
        <x:v>0</x:v>
      </x:c>
      <x:c r="H15" s="80" t="n">
        <x:f>IF(C15=0,"—",F15/C15)</x:f>
        <x:v>0</x:v>
      </x:c>
      <x:c r="I15" s="80" t="n">
        <x:f>IF(D15=0,"—",G15/D15)</x:f>
        <x:v>0</x:v>
      </x:c>
      <x:c r="J15" s="14" t="str">
        <x:v>S13</x:v>
      </x:c>
      <x:c r="K15" s="14" t="str">
        <x:v>2015–2018</x:v>
      </x:c>
      <x:c r="L15" s="14" t="str">
        <x:v>REFERENCE_CONTROLE_HISTORIQUE</x:v>
      </x:c>
    </x:row>
    <x:row r="16">
      <x:c r="A16" s="14" t="n">
        <x:v>13</x:v>
      </x:c>
      <x:c r="B16" s="14" t="str">
        <x:v>Haut-Uele</x:v>
      </x:c>
      <x:c r="C16" s="14" t="n">
        <x:v>391</x:v>
      </x:c>
      <x:c r="D16" s="14" t="n">
        <x:v>2395</x:v>
      </x:c>
      <x:c r="E16" s="79" t="n">
        <x:f>IF(C16=0,"",D16/C16)</x:f>
        <x:v>6.125319693094629</x:v>
      </x:c>
      <x:c r="F16" s="14" t="n">
        <x:v>0</x:v>
      </x:c>
      <x:c r="G16" s="14" t="n">
        <x:v>0</x:v>
      </x:c>
      <x:c r="H16" s="80" t="n">
        <x:f>IF(C16=0,"—",F16/C16)</x:f>
        <x:v>0</x:v>
      </x:c>
      <x:c r="I16" s="80" t="n">
        <x:f>IF(D16=0,"—",G16/D16)</x:f>
        <x:v>0</x:v>
      </x:c>
      <x:c r="J16" s="14" t="str">
        <x:v>S13</x:v>
      </x:c>
      <x:c r="K16" s="14" t="str">
        <x:v>2015–2018</x:v>
      </x:c>
      <x:c r="L16" s="14" t="str">
        <x:v>REFERENCE_CONTROLE_HISTORIQUE</x:v>
      </x:c>
    </x:row>
    <x:row r="17">
      <x:c r="A17" s="14" t="n">
        <x:v>14</x:v>
      </x:c>
      <x:c r="B17" s="14" t="str">
        <x:v>Ituri</x:v>
      </x:c>
      <x:c r="C17" s="14" t="n">
        <x:v>289</x:v>
      </x:c>
      <x:c r="D17" s="14" t="n">
        <x:v>4405</x:v>
      </x:c>
      <x:c r="E17" s="79" t="n">
        <x:f>IF(C17=0,"",D17/C17)</x:f>
        <x:v>15.242214532871973</x:v>
      </x:c>
      <x:c r="F17" s="14" t="n">
        <x:v>0</x:v>
      </x:c>
      <x:c r="G17" s="14" t="n">
        <x:v>0</x:v>
      </x:c>
      <x:c r="H17" s="80" t="n">
        <x:f>IF(C17=0,"—",F17/C17)</x:f>
        <x:v>0</x:v>
      </x:c>
      <x:c r="I17" s="80" t="n">
        <x:f>IF(D17=0,"—",G17/D17)</x:f>
        <x:v>0</x:v>
      </x:c>
      <x:c r="J17" s="14" t="str">
        <x:v>S13</x:v>
      </x:c>
      <x:c r="K17" s="14" t="str">
        <x:v>2015–2018</x:v>
      </x:c>
      <x:c r="L17" s="14" t="str">
        <x:v>REFERENCE_CONTROLE_HISTORIQUE</x:v>
      </x:c>
    </x:row>
    <x:row r="18">
      <x:c r="A18" s="14" t="n">
        <x:v>15</x:v>
      </x:c>
      <x:c r="B18" s="14" t="str">
        <x:v>Nord-Kivu</x:v>
      </x:c>
      <x:c r="C18" s="14" t="n">
        <x:v>95</x:v>
      </x:c>
      <x:c r="D18" s="14" t="n">
        <x:v>4584</x:v>
      </x:c>
      <x:c r="E18" s="79" t="n">
        <x:f>IF(C18=0,"",D18/C18)</x:f>
        <x:v>48.252631578947366</x:v>
      </x:c>
      <x:c r="F18" s="14" t="n">
        <x:v>0</x:v>
      </x:c>
      <x:c r="G18" s="14" t="n">
        <x:v>0</x:v>
      </x:c>
      <x:c r="H18" s="80" t="n">
        <x:f>IF(C18=0,"—",F18/C18)</x:f>
        <x:v>0</x:v>
      </x:c>
      <x:c r="I18" s="80" t="n">
        <x:f>IF(D18=0,"—",G18/D18)</x:f>
        <x:v>0</x:v>
      </x:c>
      <x:c r="J18" s="14" t="str">
        <x:v>S13</x:v>
      </x:c>
      <x:c r="K18" s="14" t="str">
        <x:v>2015–2018</x:v>
      </x:c>
      <x:c r="L18" s="14" t="str">
        <x:v>REFERENCE_CONTROLE_HISTORIQUE</x:v>
      </x:c>
    </x:row>
    <x:row r="19">
      <x:c r="A19" s="14" t="n">
        <x:v>16</x:v>
      </x:c>
      <x:c r="B19" s="14" t="str">
        <x:v>Sud-Kivu</x:v>
      </x:c>
      <x:c r="C19" s="14" t="n">
        <x:v>185</x:v>
      </x:c>
      <x:c r="D19" s="14" t="n">
        <x:v>1913</x:v>
      </x:c>
      <x:c r="E19" s="79" t="n">
        <x:f>IF(C19=0,"",D19/C19)</x:f>
        <x:v>10.340540540540541</x:v>
      </x:c>
      <x:c r="F19" s="14" t="n">
        <x:v>0</x:v>
      </x:c>
      <x:c r="G19" s="14" t="n">
        <x:v>0</x:v>
      </x:c>
      <x:c r="H19" s="80" t="n">
        <x:f>IF(C19=0,"—",F19/C19)</x:f>
        <x:v>0</x:v>
      </x:c>
      <x:c r="I19" s="80" t="n">
        <x:f>IF(D19=0,"—",G19/D19)</x:f>
        <x:v>0</x:v>
      </x:c>
      <x:c r="J19" s="14" t="str">
        <x:v>S13</x:v>
      </x:c>
      <x:c r="K19" s="14" t="str">
        <x:v>2015–2018</x:v>
      </x:c>
      <x:c r="L19" s="14" t="str">
        <x:v>REFERENCE_CONTROLE_HISTORIQUE</x:v>
      </x:c>
    </x:row>
    <x:row r="20">
      <x:c r="A20" s="14" t="n">
        <x:v>17</x:v>
      </x:c>
      <x:c r="B20" s="14" t="str">
        <x:v>Maniema</x:v>
      </x:c>
      <x:c r="C20" s="14" t="n">
        <x:v>319</x:v>
      </x:c>
      <x:c r="D20" s="14" t="n">
        <x:v>2725</x:v>
      </x:c>
      <x:c r="E20" s="79" t="n">
        <x:f>IF(C20=0,"",D20/C20)</x:f>
        <x:v>8.5423197492163</x:v>
      </x:c>
      <x:c r="F20" s="14" t="n">
        <x:v>0</x:v>
      </x:c>
      <x:c r="G20" s="14" t="n">
        <x:v>0</x:v>
      </x:c>
      <x:c r="H20" s="80" t="n">
        <x:f>IF(C20=0,"—",F20/C20)</x:f>
        <x:v>0</x:v>
      </x:c>
      <x:c r="I20" s="80" t="n">
        <x:f>IF(D20=0,"—",G20/D20)</x:f>
        <x:v>0</x:v>
      </x:c>
      <x:c r="J20" s="14" t="str">
        <x:v>S13</x:v>
      </x:c>
      <x:c r="K20" s="14" t="str">
        <x:v>2015–2018</x:v>
      </x:c>
      <x:c r="L20" s="14" t="str">
        <x:v>REFERENCE_CONTROLE_HISTORIQUE</x:v>
      </x:c>
    </x:row>
    <x:row r="21">
      <x:c r="A21" s="14" t="n">
        <x:v>18</x:v>
      </x:c>
      <x:c r="B21" s="14" t="str">
        <x:v>Haut-Katanga</x:v>
      </x:c>
      <x:c r="C21" s="14" t="n">
        <x:v>82</x:v>
      </x:c>
      <x:c r="D21" s="14" t="n">
        <x:v>1842</x:v>
      </x:c>
      <x:c r="E21" s="79" t="n">
        <x:f>IF(C21=0,"",D21/C21)</x:f>
        <x:v>22.463414634146343</x:v>
      </x:c>
      <x:c r="F21" s="14" t="n">
        <x:v>0</x:v>
      </x:c>
      <x:c r="G21" s="14" t="n">
        <x:v>0</x:v>
      </x:c>
      <x:c r="H21" s="80" t="n">
        <x:f>IF(C21=0,"—",F21/C21)</x:f>
        <x:v>0</x:v>
      </x:c>
      <x:c r="I21" s="80" t="n">
        <x:f>IF(D21=0,"—",G21/D21)</x:f>
        <x:v>0</x:v>
      </x:c>
      <x:c r="J21" s="14" t="str">
        <x:v>S13</x:v>
      </x:c>
      <x:c r="K21" s="14" t="str">
        <x:v>2015–2018</x:v>
      </x:c>
      <x:c r="L21" s="14" t="str">
        <x:v>REFERENCE_CONTROLE_HISTORIQUE</x:v>
      </x:c>
    </x:row>
    <x:row r="22">
      <x:c r="A22" s="14" t="n">
        <x:v>19</x:v>
      </x:c>
      <x:c r="B22" s="14" t="str">
        <x:v>Lualaba</x:v>
      </x:c>
      <x:c r="C22" s="14" t="n">
        <x:v>168</x:v>
      </x:c>
      <x:c r="D22" s="14" t="n">
        <x:v>3636</x:v>
      </x:c>
      <x:c r="E22" s="79" t="n">
        <x:f>IF(C22=0,"",D22/C22)</x:f>
        <x:v>21.642857142857142</x:v>
      </x:c>
      <x:c r="F22" s="14" t="n">
        <x:v>0</x:v>
      </x:c>
      <x:c r="G22" s="14" t="n">
        <x:v>0</x:v>
      </x:c>
      <x:c r="H22" s="80" t="n">
        <x:f>IF(C22=0,"—",F22/C22)</x:f>
        <x:v>0</x:v>
      </x:c>
      <x:c r="I22" s="80" t="n">
        <x:f>IF(D22=0,"—",G22/D22)</x:f>
        <x:v>0</x:v>
      </x:c>
      <x:c r="J22" s="14" t="str">
        <x:v>S13</x:v>
      </x:c>
      <x:c r="K22" s="14" t="str">
        <x:v>2015–2018</x:v>
      </x:c>
      <x:c r="L22" s="14" t="str">
        <x:v>REFERENCE_CONTROLE_HISTORIQUE</x:v>
      </x:c>
    </x:row>
    <x:row r="23">
      <x:c r="A23" s="14" t="n">
        <x:v>20</x:v>
      </x:c>
      <x:c r="B23" s="14" t="str">
        <x:v>Haut-Lomami</x:v>
      </x:c>
      <x:c r="C23" s="14" t="n">
        <x:v>141</x:v>
      </x:c>
      <x:c r="D23" s="14" t="n">
        <x:v>2255</x:v>
      </x:c>
      <x:c r="E23" s="79" t="n">
        <x:f>IF(C23=0,"",D23/C23)</x:f>
        <x:v>15.99290780141844</x:v>
      </x:c>
      <x:c r="F23" s="14" t="n">
        <x:v>0</x:v>
      </x:c>
      <x:c r="G23" s="14" t="n">
        <x:v>0</x:v>
      </x:c>
      <x:c r="H23" s="80" t="n">
        <x:f>IF(C23=0,"—",F23/C23)</x:f>
        <x:v>0</x:v>
      </x:c>
      <x:c r="I23" s="80" t="n">
        <x:f>IF(D23=0,"—",G23/D23)</x:f>
        <x:v>0</x:v>
      </x:c>
      <x:c r="J23" s="14" t="str">
        <x:v>S13</x:v>
      </x:c>
      <x:c r="K23" s="14" t="str">
        <x:v>2015–2018</x:v>
      </x:c>
      <x:c r="L23" s="14" t="str">
        <x:v>REFERENCE_CONTROLE_HISTORIQUE</x:v>
      </x:c>
    </x:row>
    <x:row r="24">
      <x:c r="A24" s="14" t="n">
        <x:v>21</x:v>
      </x:c>
      <x:c r="B24" s="14" t="str">
        <x:v>Tanganyika</x:v>
      </x:c>
      <x:c r="C24" s="14" t="n">
        <x:v>121</x:v>
      </x:c>
      <x:c r="D24" s="14" t="n">
        <x:v>4007</x:v>
      </x:c>
      <x:c r="E24" s="79" t="n">
        <x:f>IF(C24=0,"",D24/C24)</x:f>
        <x:v>33.11570247933884</x:v>
      </x:c>
      <x:c r="F24" s="14" t="n">
        <x:v>0</x:v>
      </x:c>
      <x:c r="G24" s="14" t="n">
        <x:v>0</x:v>
      </x:c>
      <x:c r="H24" s="80" t="n">
        <x:f>IF(C24=0,"—",F24/C24)</x:f>
        <x:v>0</x:v>
      </x:c>
      <x:c r="I24" s="80" t="n">
        <x:f>IF(D24=0,"—",G24/D24)</x:f>
        <x:v>0</x:v>
      </x:c>
      <x:c r="J24" s="14" t="str">
        <x:v>S13</x:v>
      </x:c>
      <x:c r="K24" s="14" t="str">
        <x:v>2015–2018</x:v>
      </x:c>
      <x:c r="L24" s="14" t="str">
        <x:v>REFERENCE_CONTROLE_HISTORIQUE</x:v>
      </x:c>
    </x:row>
    <x:row r="25">
      <x:c r="A25" s="14" t="n">
        <x:v>22</x:v>
      </x:c>
      <x:c r="B25" s="14" t="str">
        <x:v>Lomami</x:v>
      </x:c>
      <x:c r="C25" s="14" t="n">
        <x:v>252</x:v>
      </x:c>
      <x:c r="D25" s="14" t="n">
        <x:v>2947</x:v>
      </x:c>
      <x:c r="E25" s="79" t="n">
        <x:f>IF(C25=0,"",D25/C25)</x:f>
        <x:v>11.694444444444445</x:v>
      </x:c>
      <x:c r="F25" s="14" t="n">
        <x:v>0</x:v>
      </x:c>
      <x:c r="G25" s="14" t="n">
        <x:v>0</x:v>
      </x:c>
      <x:c r="H25" s="80" t="n">
        <x:f>IF(C25=0,"—",F25/C25)</x:f>
        <x:v>0</x:v>
      </x:c>
      <x:c r="I25" s="80" t="n">
        <x:f>IF(D25=0,"—",G25/D25)</x:f>
        <x:v>0</x:v>
      </x:c>
      <x:c r="J25" s="14" t="str">
        <x:v>S13</x:v>
      </x:c>
      <x:c r="K25" s="14" t="str">
        <x:v>2015–2018</x:v>
      </x:c>
      <x:c r="L25" s="14" t="str">
        <x:v>REFERENCE_CONTROLE_HISTORIQUE</x:v>
      </x:c>
    </x:row>
    <x:row r="26">
      <x:c r="A26" s="14" t="n">
        <x:v>23</x:v>
      </x:c>
      <x:c r="B26" s="14" t="str">
        <x:v>Kasaï-Oriental</x:v>
      </x:c>
      <x:c r="C26" s="14" t="n">
        <x:v>149</x:v>
      </x:c>
      <x:c r="D26" s="14" t="n">
        <x:v>1644</x:v>
      </x:c>
      <x:c r="E26" s="79" t="n">
        <x:f>IF(C26=0,"",D26/C26)</x:f>
        <x:v>11.033557046979865</x:v>
      </x:c>
      <x:c r="F26" s="14" t="n">
        <x:v>0</x:v>
      </x:c>
      <x:c r="G26" s="14" t="n">
        <x:v>0</x:v>
      </x:c>
      <x:c r="H26" s="80" t="n">
        <x:f>IF(C26=0,"—",F26/C26)</x:f>
        <x:v>0</x:v>
      </x:c>
      <x:c r="I26" s="80" t="n">
        <x:f>IF(D26=0,"—",G26/D26)</x:f>
        <x:v>0</x:v>
      </x:c>
      <x:c r="J26" s="14" t="str">
        <x:v>S13</x:v>
      </x:c>
      <x:c r="K26" s="14" t="str">
        <x:v>2015–2018</x:v>
      </x:c>
      <x:c r="L26" s="14" t="str">
        <x:v>REFERENCE_CONTROLE_HISTORIQUE</x:v>
      </x:c>
    </x:row>
    <x:row r="27">
      <x:c r="A27" s="14" t="n">
        <x:v>24</x:v>
      </x:c>
      <x:c r="B27" s="14" t="str">
        <x:v>Sankuru</x:v>
      </x:c>
      <x:c r="C27" s="14" t="n">
        <x:v>398</x:v>
      </x:c>
      <x:c r="D27" s="14" t="n">
        <x:v>2951</x:v>
      </x:c>
      <x:c r="E27" s="79" t="n">
        <x:f>IF(C27=0,"",D27/C27)</x:f>
        <x:v>7.414572864321608</x:v>
      </x:c>
      <x:c r="F27" s="14" t="n">
        <x:v>0</x:v>
      </x:c>
      <x:c r="G27" s="14" t="n">
        <x:v>0</x:v>
      </x:c>
      <x:c r="H27" s="80" t="n">
        <x:f>IF(C27=0,"—",F27/C27)</x:f>
        <x:v>0</x:v>
      </x:c>
      <x:c r="I27" s="80" t="n">
        <x:f>IF(D27=0,"—",G27/D27)</x:f>
        <x:v>0</x:v>
      </x:c>
      <x:c r="J27" s="14" t="str">
        <x:v>S13</x:v>
      </x:c>
      <x:c r="K27" s="14" t="str">
        <x:v>2015–2018</x:v>
      </x:c>
      <x:c r="L27" s="14" t="str">
        <x:v>REFERENCE_CONTROLE_HISTORIQUE</x:v>
      </x:c>
    </x:row>
    <x:row r="28">
      <x:c r="A28" s="14" t="n">
        <x:v>25</x:v>
      </x:c>
      <x:c r="B28" s="14" t="str">
        <x:v>Kasaï-Central</x:v>
      </x:c>
      <x:c r="C28" s="14" t="n">
        <x:v>359</x:v>
      </x:c>
      <x:c r="D28" s="14" t="n">
        <x:v>6165</x:v>
      </x:c>
      <x:c r="E28" s="79" t="n">
        <x:f>IF(C28=0,"",D28/C28)</x:f>
        <x:v>17.172701949860723</x:v>
      </x:c>
      <x:c r="F28" s="14" t="n">
        <x:v>0</x:v>
      </x:c>
      <x:c r="G28" s="14" t="n">
        <x:v>0</x:v>
      </x:c>
      <x:c r="H28" s="80" t="n">
        <x:f>IF(C28=0,"—",F28/C28)</x:f>
        <x:v>0</x:v>
      </x:c>
      <x:c r="I28" s="80" t="n">
        <x:f>IF(D28=0,"—",G28/D28)</x:f>
        <x:v>0</x:v>
      </x:c>
      <x:c r="J28" s="14" t="str">
        <x:v>S13</x:v>
      </x:c>
      <x:c r="K28" s="14" t="str">
        <x:v>2015–2018</x:v>
      </x:c>
      <x:c r="L28" s="14" t="str">
        <x:v>REFERENCE_CONTROLE_HISTORIQUE</x:v>
      </x:c>
    </x:row>
    <x:row r="29">
      <x:c r="A29" s="14" t="n">
        <x:v>26</x:v>
      </x:c>
      <x:c r="B29" s="14" t="str">
        <x:v>Kasaï</x:v>
      </x:c>
      <x:c r="C29" s="14" t="n">
        <x:v>386</x:v>
      </x:c>
      <x:c r="D29" s="14" t="n">
        <x:v>9025</x:v>
      </x:c>
      <x:c r="E29" s="79" t="n">
        <x:f>IF(C29=0,"",D29/C29)</x:f>
        <x:v>23.38082901554404</x:v>
      </x:c>
      <x:c r="F29" s="14" t="n">
        <x:v>0</x:v>
      </x:c>
      <x:c r="G29" s="14" t="n">
        <x:v>0</x:v>
      </x:c>
      <x:c r="H29" s="80" t="n">
        <x:f>IF(C29=0,"—",F29/C29)</x:f>
        <x:v>0</x:v>
      </x:c>
      <x:c r="I29" s="80" t="n">
        <x:f>IF(D29=0,"—",G29/D29)</x:f>
        <x:v>0</x:v>
      </x:c>
      <x:c r="J29" s="14" t="str">
        <x:v>S13</x:v>
      </x:c>
      <x:c r="K29" s="14" t="str">
        <x:v>2015–2018</x:v>
      </x:c>
      <x:c r="L29" s="14" t="str">
        <x:v>REFERENCE_CONTROLE_HISTORIQUE</x:v>
      </x:c>
    </x:row>
    <x:row r="30">
      <x:c r="A30" s="81" t="str"/>
      <x:c r="B30" s="81" t="str">
        <x:v>TOTAL NATIONAL</x:v>
      </x:c>
      <x:c r="C30" s="81" t="n">
        <x:f>SUM(C4:C29)</x:f>
        <x:v>5910</x:v>
      </x:c>
      <x:c r="D30" s="81" t="n">
        <x:f>SUM(D4:D29)</x:f>
        <x:v>87710</x:v>
      </x:c>
      <x:c r="E30" s="82" t="n">
        <x:f>IF(C30=0,"",D30/C30)</x:f>
        <x:v>14.840947546531304</x:v>
      </x:c>
      <x:c r="F30" s="81" t="n">
        <x:f>SUM(F4:F29)</x:f>
        <x:v>0</x:v>
      </x:c>
      <x:c r="G30" s="81" t="n">
        <x:f>SUM(G4:G29)</x:f>
        <x:v>0</x:v>
      </x:c>
      <x:c r="H30" s="83" t="n">
        <x:f>IF(C30=0,"—",F30/C30)</x:f>
        <x:v>0</x:v>
      </x:c>
      <x:c r="I30" s="83" t="n">
        <x:f>IF(D30=0,"—",G30/D30)</x:f>
        <x:v>0</x:v>
      </x:c>
      <x:c r="J30" s="81" t="str">
        <x:v>S13</x:v>
      </x:c>
      <x:c r="K30" s="81" t="str">
        <x:v>2015–2018</x:v>
      </x:c>
      <x:c r="L30" s="81" t="str">
        <x:v>REFERENCE_CONTROLE_HISTORIQUE</x:v>
      </x:c>
    </x:row>
  </x:sheetData>
  <x:mergeCells>
    <x:mergeCell ref="A1:L1"/>
    <x:mergeCell ref="A2:L2"/>
  </x:mergeCells>
  <x:pageMargins left="0.7" right="0.7" top="0.75" bottom="0.75" header="0.3" footer="0.3"/>
</x:worksheet>
</file>

<file path=xl/worksheets/sheet19.xml><?xml version="1.0" encoding="utf-8"?>
<x:worksheet xmlns:x="http://schemas.openxmlformats.org/spreadsheetml/2006/main">
  <x:sheetFormatPr defaultRowHeight="15"/>
  <x:cols>
    <x:col min="1" max="1" width="8" hidden="0" customWidth="1"/>
    <x:col min="2" max="2" width="32" hidden="0" customWidth="1"/>
    <x:col min="3" max="3" width="18" hidden="0" customWidth="1"/>
    <x:col min="4" max="4" width="16" hidden="0" customWidth="1"/>
    <x:col min="5" max="5" width="30" hidden="0" customWidth="1"/>
    <x:col min="6" max="6" width="42" hidden="0" customWidth="1"/>
    <x:col min="7" max="7" width="20" hidden="0" customWidth="1"/>
    <x:col min="8" max="8" width="14" hidden="0" customWidth="1"/>
  </x:cols>
  <x:sheetData>
    <x:row r="1">
      <x:c r="A1" s="61" t="str">
        <x:v>Pipeline de consolidation Groupements → Villages / Localités</x:v>
      </x:c>
      <x:c r="B1" s="61"/>
      <x:c r="C1" s="61"/>
      <x:c r="D1" s="61"/>
      <x:c r="E1" s="61"/>
      <x:c r="F1" s="61"/>
      <x:c r="G1" s="61"/>
      <x:c r="H1" s="61"/>
    </x:row>
    <x:row r="2">
      <x:c r="A2" s="85" t="str">
        <x:v>Principe : séparer la validation administrative (CENI/RGC/administration) de l’enrichissement géographique récent (GRID3).</x:v>
      </x:c>
      <x:c r="B2" s="85"/>
      <x:c r="C2" s="85"/>
      <x:c r="D2" s="85"/>
      <x:c r="E2" s="85"/>
      <x:c r="F2" s="85"/>
      <x:c r="G2" s="85"/>
      <x:c r="H2" s="85"/>
    </x:row>
    <x:row r="3">
      <x:c r="A3" s="70" t="str">
        <x:v>etape</x:v>
      </x:c>
      <x:c r="B3" s="70" t="str">
        <x:v>jeu_donnees</x:v>
      </x:c>
      <x:c r="C3" s="70" t="str">
        <x:v>volume_reference</x:v>
      </x:c>
      <x:c r="D3" s="70" t="str">
        <x:v>volume_charge</x:v>
      </x:c>
      <x:c r="E3" s="70" t="str">
        <x:v>role</x:v>
      </x:c>
      <x:c r="F3" s="70" t="str">
        <x:v>regle_promotion</x:v>
      </x:c>
      <x:c r="G3" s="70" t="str">
        <x:v>statut</x:v>
      </x:c>
      <x:c r="H3" s="70" t="str">
        <x:v>source</x:v>
      </x:c>
    </x:row>
    <x:row r="4">
      <x:c r="A4" s="14" t="n">
        <x:v>1</x:v>
      </x:c>
      <x:c r="B4" s="14" t="str">
        <x:v>Groupements CENI — référence agrégée</x:v>
      </x:c>
      <x:c r="C4" s="14" t="n">
        <x:v>5910</x:v>
      </x:c>
      <x:c r="D4" s="14" t="n">
        <x:v>0</x:v>
      </x:c>
      <x:c r="E4" s="14" t="str">
        <x:v>Contrôle de couverture nationale</x:v>
      </x:c>
      <x:c r="F4" s="14" t="str">
        <x:v>Ne crée aucun nom de groupement à lui seul</x:v>
      </x:c>
      <x:c r="G4" s="14" t="str">
        <x:v>REFERENCE_INTEGREE</x:v>
      </x:c>
      <x:c r="H4" s="14" t="str">
        <x:v>S13</x:v>
      </x:c>
    </x:row>
    <x:row r="5">
      <x:c r="A5" s="14" t="n">
        <x:v>2</x:v>
      </x:c>
      <x:c r="B5" s="14" t="str">
        <x:v>Groupements RGC 2010 — nomenclature détaillée</x:v>
      </x:c>
      <x:c r="C5" s="14"/>
      <x:c r="D5" s="14" t="n">
        <x:v>0</x:v>
      </x:c>
      <x:c r="E5" s="14" t="str">
        <x:v>Noms + rattachement territoire/secteur + code</x:v>
      </x:c>
      <x:c r="F5" s="14" t="str">
        <x:v>Importer en staging puis rapprocher aux 734 secteurs/chefferies</x:v>
      </x:c>
      <x:c r="G5" s="14" t="str">
        <x:v>A_IMPORTER</x:v>
      </x:c>
      <x:c r="H5" s="14" t="str">
        <x:v>S02</x:v>
      </x:c>
    </x:row>
    <x:row r="6">
      <x:c r="A6" s="14" t="n">
        <x:v>3</x:v>
      </x:c>
      <x:c r="B6" s="14" t="str">
        <x:v>Villages CENI — référence agrégée</x:v>
      </x:c>
      <x:c r="C6" s="14" t="n">
        <x:v>87710</x:v>
      </x:c>
      <x:c r="D6" s="14" t="n">
        <x:v>0</x:v>
      </x:c>
      <x:c r="E6" s="14" t="str">
        <x:v>Contrôle de couverture nationale</x:v>
      </x:c>
      <x:c r="F6" s="14" t="str">
        <x:v>Ne crée aucun village à lui seul</x:v>
      </x:c>
      <x:c r="G6" s="14" t="str">
        <x:v>REFERENCE_INTEGREE</x:v>
      </x:c>
      <x:c r="H6" s="14" t="str">
        <x:v>S13</x:v>
      </x:c>
    </x:row>
    <x:row r="7">
      <x:c r="A7" s="14" t="n">
        <x:v>4</x:v>
      </x:c>
      <x:c r="B7" s="14" t="str">
        <x:v>Localités RGC 2010</x:v>
      </x:c>
      <x:c r="C7" s="14"/>
      <x:c r="D7" s="14" t="n">
        <x:v>0</x:v>
      </x:c>
      <x:c r="E7" s="14" t="str">
        <x:v>Hiérarchie territoire/secteur/groupement + coordonnées</x:v>
      </x:c>
      <x:c r="F7" s="14" t="str">
        <x:v>Promouvoir seulement après appariement administratif</x:v>
      </x:c>
      <x:c r="G7" s="14" t="str">
        <x:v>A_IMPORTER</x:v>
      </x:c>
      <x:c r="H7" s="14" t="str">
        <x:v>S02</x:v>
      </x:c>
    </x:row>
    <x:row r="8">
      <x:c r="A8" s="14" t="n">
        <x:v>5</x:v>
      </x:c>
      <x:c r="B8" s="14" t="str">
        <x:v>Settlement Names GRID3 v9.0</x:v>
      </x:c>
      <x:c r="C8" s="14" t="n">
        <x:v>128236</x:v>
      </x:c>
      <x:c r="D8" s="14" t="n">
        <x:v>0</x:v>
      </x:c>
      <x:c r="E8" s="14" t="str">
        <x:v>Noms/types/coordonnées récents</x:v>
      </x:c>
      <x:c r="F8" s="14" t="str">
        <x:v>Point candidat; jamais village administratif automatique</x:v>
      </x:c>
      <x:c r="G8" s="14" t="str">
        <x:v>ETL_PRET</x:v>
      </x:c>
      <x:c r="H8" s="14" t="str">
        <x:v>S11</x:v>
      </x:c>
    </x:row>
    <x:row r="9">
      <x:c r="A9" s="14" t="n">
        <x:v>6</x:v>
      </x:c>
      <x:c r="B9" s="14" t="str">
        <x:v>Rapprochement RGC ↔ GRID3</x:v>
      </x:c>
      <x:c r="C9" s="14"/>
      <x:c r="D9" s="14" t="n">
        <x:v>0</x:v>
      </x:c>
      <x:c r="E9" s="14" t="str">
        <x:v>Actualisation géographique et variantes de noms</x:v>
      </x:c>
      <x:c r="F9" s="14" t="str">
        <x:v>Score + contrôle manuel pour cas ambigus</x:v>
      </x:c>
      <x:c r="G9" s="14" t="str">
        <x:v>A_EXECUTER</x:v>
      </x:c>
      <x:c r="H9" s="14" t="str">
        <x:v>S02;S11</x:v>
      </x:c>
    </x:row>
    <x:row r="10">
      <x:c r="A10" s="14" t="n">
        <x:v>7</x:v>
      </x:c>
      <x:c r="B10" s="14" t="str">
        <x:v>Promotion vers Groupements/Villages</x:v>
      </x:c>
      <x:c r="C10" s="14"/>
      <x:c r="D10" s="14" t="n">
        <x:v>0</x:v>
      </x:c>
      <x:c r="E10" s="14" t="str">
        <x:v>Référentiel SIGPOP-RDC validé</x:v>
      </x:c>
      <x:c r="F10" s="14" t="str">
        <x:v>Clé administrative + provenance + statut validation obligatoires</x:v>
      </x:c>
      <x:c r="G10" s="14" t="str">
        <x:v>A_EXECUTER</x:v>
      </x:c>
      <x:c r="H10" s="14" t="str">
        <x:v>S02;S13;S11</x:v>
      </x:c>
    </x:row>
    <x:row r="11">
      <x:c r="A11" s="14" t="n">
        <x:v>8</x:v>
      </x:c>
      <x:c r="B11" s="14" t="str">
        <x:v>Couche ethnolinguistique</x:v>
      </x:c>
      <x:c r="C11" s="14"/>
      <x:c r="D11" s="14" t="n">
        <x:v>0</x:v>
      </x:c>
      <x:c r="E11" s="14" t="str">
        <x:v>Groupes/langues associés aux entités</x:v>
      </x:c>
      <x:c r="F11" s="14" t="str">
        <x:v>Association plusieurs-à-plusieurs, uniquement sourcée</x:v>
      </x:c>
      <x:c r="G11" s="14" t="str">
        <x:v>PHASE_SUIVANTE</x:v>
      </x:c>
      <x:c r="H11" s="14" t="str">
        <x:v>S07;S08</x:v>
      </x:c>
    </x:row>
  </x:sheetData>
  <x:mergeCells>
    <x:mergeCell ref="A1:H1"/>
    <x:mergeCell ref="A2:H2"/>
  </x:mergeCells>
  <x:pageMargins left="0.7" right="0.7" top="0.75" bottom="0.75" header="0.3" footer="0.3"/>
</x:worksheet>
</file>