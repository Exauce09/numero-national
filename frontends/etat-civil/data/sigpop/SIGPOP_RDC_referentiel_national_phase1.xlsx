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5.xml" ContentType="application/vnd.openxmlformats-officedocument.spreadsheetml.table+xml"/>
  <Override PartName="/xl/worksheets/sheet14.xml" ContentType="application/vnd.openxmlformats-officedocument.spreadsheetml.worksheet+xml"/>
  <Override PartName="/xl/tables/table6.xml" ContentType="application/vnd.openxmlformats-officedocument.spreadsheetml.table+xml"/>
  <Override PartName="/xl/worksheets/sheet15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bcfcd5bd9e44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f7b794375394fca"/>
    <x:sheet xmlns:r="http://schemas.openxmlformats.org/officeDocument/2006/relationships" name="Couverture" sheetId="2" r:id="R71265fa80c194ca8"/>
    <x:sheet xmlns:r="http://schemas.openxmlformats.org/officeDocument/2006/relationships" name="Provinces" sheetId="3" r:id="R570f0110bf6f41f2"/>
    <x:sheet xmlns:r="http://schemas.openxmlformats.org/officeDocument/2006/relationships" name="Territoires" sheetId="4" r:id="R2ad82eecedf6411e"/>
    <x:sheet xmlns:r="http://schemas.openxmlformats.org/officeDocument/2006/relationships" name="Secteurs_Chefferies" sheetId="5" r:id="Redbc95f7f1ac4d9d"/>
    <x:sheet xmlns:r="http://schemas.openxmlformats.org/officeDocument/2006/relationships" name="Extrait_ETD" sheetId="6" r:id="Ra8b90a1f820947f9"/>
    <x:sheet xmlns:r="http://schemas.openxmlformats.org/officeDocument/2006/relationships" name="Groupements" sheetId="7" r:id="R40403aa248694a98"/>
    <x:sheet xmlns:r="http://schemas.openxmlformats.org/officeDocument/2006/relationships" name="Villages" sheetId="8" r:id="R92f13e68c61c4370"/>
    <x:sheet xmlns:r="http://schemas.openxmlformats.org/officeDocument/2006/relationships" name="Groupes_Ethno" sheetId="9" r:id="R3be3757ae7254124"/>
    <x:sheet xmlns:r="http://schemas.openxmlformats.org/officeDocument/2006/relationships" name="Langues" sheetId="10" r:id="R91df83d47ec548ba"/>
    <x:sheet xmlns:r="http://schemas.openxmlformats.org/officeDocument/2006/relationships" name="Implantations_Ethno" sheetId="11" r:id="R850773cf5bf14b05"/>
    <x:sheet xmlns:r="http://schemas.openxmlformats.org/officeDocument/2006/relationships" name="Staging_RGC" sheetId="12" r:id="Rda5c35693f384401"/>
    <x:sheet xmlns:r="http://schemas.openxmlformats.org/officeDocument/2006/relationships" name="Sources" sheetId="13" r:id="Rf7fc6c58ca9143e9"/>
    <x:sheet xmlns:r="http://schemas.openxmlformats.org/officeDocument/2006/relationships" name="QA" sheetId="14" r:id="Rc73dbac42c534070"/>
    <x:sheet xmlns:r="http://schemas.openxmlformats.org/officeDocument/2006/relationships" name="Dictionnaire" sheetId="15" r:id="Rfb29d907776448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i/>
      <x:sz val="11"/>
      <x:color rgb="FF404040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91416be1404c53" /><Relationship Type="http://schemas.openxmlformats.org/officeDocument/2006/relationships/theme" Target="/xl/theme/theme1.xml" Id="Rf5b8e4a0ad534a99" /><Relationship Type="http://schemas.openxmlformats.org/officeDocument/2006/relationships/sharedStrings" Target="/xl/sharedStrings.xml" Id="R76f44c6741824957" /><Relationship Type="http://schemas.openxmlformats.org/officeDocument/2006/relationships/worksheet" Target="/xl/worksheets/sheet1.xml" Id="R0f7b794375394fca" /><Relationship Type="http://schemas.openxmlformats.org/officeDocument/2006/relationships/worksheet" Target="/xl/worksheets/sheet2.xml" Id="R71265fa80c194ca8" /><Relationship Type="http://schemas.openxmlformats.org/officeDocument/2006/relationships/worksheet" Target="/xl/worksheets/sheet3.xml" Id="R570f0110bf6f41f2" /><Relationship Type="http://schemas.openxmlformats.org/officeDocument/2006/relationships/worksheet" Target="/xl/worksheets/sheet4.xml" Id="R2ad82eecedf6411e" /><Relationship Type="http://schemas.openxmlformats.org/officeDocument/2006/relationships/worksheet" Target="/xl/worksheets/sheet5.xml" Id="Redbc95f7f1ac4d9d" /><Relationship Type="http://schemas.openxmlformats.org/officeDocument/2006/relationships/worksheet" Target="/xl/worksheets/sheet6.xml" Id="Ra8b90a1f820947f9" /><Relationship Type="http://schemas.openxmlformats.org/officeDocument/2006/relationships/worksheet" Target="/xl/worksheets/sheet7.xml" Id="R40403aa248694a98" /><Relationship Type="http://schemas.openxmlformats.org/officeDocument/2006/relationships/worksheet" Target="/xl/worksheets/sheet8.xml" Id="R92f13e68c61c4370" /><Relationship Type="http://schemas.openxmlformats.org/officeDocument/2006/relationships/worksheet" Target="/xl/worksheets/sheet9.xml" Id="R3be3757ae7254124" /><Relationship Type="http://schemas.openxmlformats.org/officeDocument/2006/relationships/worksheet" Target="/xl/worksheets/sheet10.xml" Id="R91df83d47ec548ba" /><Relationship Type="http://schemas.openxmlformats.org/officeDocument/2006/relationships/worksheet" Target="/xl/worksheets/sheet11.xml" Id="R850773cf5bf14b05" /><Relationship Type="http://schemas.openxmlformats.org/officeDocument/2006/relationships/worksheet" Target="/xl/worksheets/sheet12.xml" Id="Rda5c35693f384401" /><Relationship Type="http://schemas.openxmlformats.org/officeDocument/2006/relationships/worksheet" Target="/xl/worksheets/sheet13.xml" Id="Rf7fc6c58ca9143e9" /><Relationship Type="http://schemas.openxmlformats.org/officeDocument/2006/relationships/worksheet" Target="/xl/worksheets/sheet14.xml" Id="Rc73dbac42c534070" /><Relationship Type="http://schemas.openxmlformats.org/officeDocument/2006/relationships/worksheet" Target="/xl/worksheets/sheet15.xml" Id="Rfb29d907776448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5b50a437d10486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Couverture actuelle des niveaux normalisés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Référence</c:v>
          </c:tx>
          <c:cat>
            <c:strRef>
              <c:f>'Couverture'!$H$4:$H$6</c:f>
              <c:strCache>
                <c:ptCount val="0"/>
              </c:strCache>
            </c:strRef>
          </c:cat>
          <c:val>
            <c:numRef>
              <c:f>'Couverture'!$I$4:$I$6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Chargé</c:v>
          </c:tx>
          <c:cat>
            <c:strRef>
              <c:f>'Couverture'!$H$4:$H$6</c:f>
              <c:strCache>
                <c:ptCount val="0"/>
              </c:strCache>
            </c:strRef>
          </c:cat>
          <c:val>
            <c:numRef>
              <c:f>'Couverture'!$J$4:$J$6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b50a437d10486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verageTable" displayName="CoverageTable" ref="A3:F10" headerRowCount="1" totalsRowCount="0" totalsRowShown="0">
  <x:tableColumns count="6">
    <x:tableColumn id="1" name="Niveau"/>
    <x:tableColumn id="2" name="Référence/attendu"/>
    <x:tableColumn id="3" name="Chargé"/>
    <x:tableColumn id="4" name="Couverture"/>
    <x:tableColumn id="5" name="État"/>
    <x:tableColumn id="6" name="Sourc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vincesTable" displayName="ProvincesTable" ref="A3:K29" headerRowCount="1" totalsRowCount="0" totalsRowShown="0">
  <x:tableColumns count="11">
    <x:tableColumn id="1" name="province_id"/>
    <x:tableColumn id="2" name="code_interne"/>
    <x:tableColumn id="3" name="nom_province"/>
    <x:tableColumn id="4" name="chef_lieu"/>
    <x:tableColumn id="5" name="prefixe_pcode"/>
    <x:tableColumn id="6" name="nb_territoires_calcule"/>
    <x:tableColumn id="7" name="nb_secteurs_source"/>
    <x:tableColumn id="8" name="nb_chefferies_source"/>
    <x:tableColumn id="9" name="nb_etd_total_source"/>
    <x:tableColumn id="10" name="statut_couverture"/>
    <x:tableColumn id="11" name="sourc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rritoiresTable" displayName="TerritoiresTable" ref="A3:K148" headerRowCount="1" totalsRowCount="0" totalsRowShown="0">
  <x:tableColumns count="11">
    <x:tableColumn id="1" name="territoire_id"/>
    <x:tableColumn id="2" name="province_id"/>
    <x:tableColumn id="3" name="province"/>
    <x:tableColumn id="4" name="nom_territoire"/>
    <x:tableColumn id="5" name="code_interne"/>
    <x:tableColumn id="6" name="pcode_reference_brut"/>
    <x:tableColumn id="7" name="prefixe_attendu"/>
    <x:tableColumn id="8" name="statut_pcode"/>
    <x:tableColumn id="9" name="source_pcode"/>
    <x:tableColumn id="10" name="commentaire_qa"/>
    <x:tableColumn id="11" name="date_integr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traitETDTable" displayName="ExtraitETDTable" ref="A3:I34" headerRowCount="1" totalsRowCount="0" totalsRowShown="0">
  <x:tableColumns count="9">
    <x:tableColumn id="1" name="extrait_id"/>
    <x:tableColumn id="2" name="province_id"/>
    <x:tableColumn id="3" name="province"/>
    <x:tableColumn id="4" name="territoire"/>
    <x:tableColumn id="5" name="type_entite"/>
    <x:tableColumn id="6" name="nom_entite"/>
    <x:tableColumn id="7" name="annee_source"/>
    <x:tableColumn id="8" name="source_id"/>
    <x:tableColumn id="9" name="statut_valid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Table" displayName="SourcesTable" ref="A3:G14" headerRowCount="1" totalsRowCount="0" totalsRowShown="0">
  <x:tableColumns count="7">
    <x:tableColumn id="1" name="source_id"/>
    <x:tableColumn id="2" name="nom_source"/>
    <x:tableColumn id="3" name="type_source"/>
    <x:tableColumn id="4" name="usage_prevu"/>
    <x:tableColumn id="5" name="url"/>
    <x:tableColumn id="6" name="date_consultation"/>
    <x:tableColumn id="7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ATable" displayName="QATable" ref="A3:H9" headerRowCount="1" totalsRowCount="0" totalsRowShown="0">
  <x:tableColumns count="8">
    <x:tableColumn id="1" name="qa_id"/>
    <x:tableColumn id="2" name="categorie"/>
    <x:tableColumn id="3" name="portee"/>
    <x:tableColumn id="4" name="probleme"/>
    <x:tableColumn id="5" name="severite"/>
    <x:tableColumn id="6" name="action_recommandee"/>
    <x:tableColumn id="7" name="statut"/>
    <x:tableColumn id="8" name="sourc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ctionaryTable" displayName="DictionaryTable" ref="A3:D15" headerRowCount="1" totalsRowCount="0" totalsRowShown="0">
  <x:tableColumns count="4">
    <x:tableColumn id="1" name="table"/>
    <x:tableColumn id="2" name="champ"/>
    <x:tableColumn id="3" name="rôle/type"/>
    <x:tableColumn id="4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3702a3ff50545c0" /><Relationship Type="http://schemas.openxmlformats.org/officeDocument/2006/relationships/table" Target="/xl/tables/table1.xml" Id="R28e81ce2315b47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f8dd20fad847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5b0477927243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63331edecd341f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5.xml" Id="R1c08d60ee11d449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6.xml" Id="R5716008b05be445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7.xml" Id="Rdfda4ec105ea40b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 ht="32" customHeight="1">
      <x:c r="A1" s="4" t="str">
        <x:v>SIGPOP-RDC — Référentiel territorial, géographique et ethnolinguistique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Objet</x:v>
      </x:c>
      <x:c r="B3" s="14" t="str">
        <x:v>Construire progressivement la base nationale Province → Territoire → Secteur/Chefferie → Groupement → Village → Groupe ethnolinguistique → Langue.</x:v>
      </x:c>
    </x:row>
    <x:row r="4">
      <x:c r="A4" s="10" t="str">
        <x:v>Couverture Phase 1</x:v>
      </x:c>
      <x:c r="B4" s="14" t="str">
        <x:v>26/26 provinces et 145/145 territoires chargés. Tables des niveaux inférieurs prêtes pour import/validation.</x:v>
      </x:c>
    </x:row>
    <x:row r="5">
      <x:c r="A5" s="10" t="str">
        <x:v>Principe scientifique</x:v>
      </x:c>
      <x:c r="B5" s="14" t="str">
        <x:v>Ne pas imposer une seule « tribu » ou une seule langue à un secteur. Les relations ethnolinguistiques sont plusieurs-à-plusieurs et sourcées.</x:v>
      </x:c>
    </x:row>
    <x:row r="6">
      <x:c r="A6" s="10" t="str">
        <x:v>Coordonnées</x:v>
      </x:c>
      <x:c r="B6" s="14" t="str">
        <x:v>Latitude/longitude WGS84 prévues dans Groupements, Villages et staging RGC.</x:v>
      </x:c>
    </x:row>
    <x:row r="7">
      <x:c r="A7" s="10" t="str">
        <x:v>PCodes</x:v>
      </x:c>
      <x:c r="B7" s="14" t="str">
        <x:v>Les PCodes de territoire de cette version sont des valeurs brutes de travail provenant d’une source secondaire; statut À VALIDER.</x:v>
      </x:c>
    </x:row>
    <x:row r="8">
      <x:c r="A8" s="10" t="str">
        <x:v>Niveaux vides</x:v>
      </x:c>
      <x:c r="B8" s="14" t="str">
        <x:v>Aucun faux groupement/village ou groupe ethnolinguistique n’est généré pour remplir artificiellement la base.</x:v>
      </x:c>
    </x:row>
    <x:row r="9">
      <x:c r="A9" s="10" t="str">
        <x:v>PostgreSQL</x:v>
      </x:c>
      <x:c r="B9" s="14" t="str">
        <x:v>Le fichier SQL crée le schéma relationnel, les contraintes, les index, la vue hiérarchique et les données provinces/territoires.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4" hidden="0" customWidth="1"/>
    <x:col min="4" max="4" width="14" hidden="0" customWidth="1"/>
    <x:col min="5" max="5" width="58" hidden="0" customWidth="1"/>
    <x:col min="6" max="6" width="20" hidden="0" customWidth="1"/>
  </x:cols>
  <x:sheetData>
    <x:row r="1" ht="28" customHeight="1">
      <x:c r="A1" s="4" t="str">
        <x:v>Couverture des données — Phase 1</x:v>
      </x:c>
      <x:c r="B1" s="4"/>
      <x:c r="C1" s="4"/>
      <x:c r="D1" s="4"/>
      <x:c r="E1" s="4"/>
      <x:c r="F1" s="4"/>
    </x:row>
    <x:row r="2">
      <x:c r="A2" s="18" t="str">
        <x:v>Les valeurs « chargé » reflètent uniquement les enregistrements effectivement intégrés et contrôlables dans cette livraison.</x:v>
      </x:c>
      <x:c r="B2" s="18"/>
      <x:c r="C2" s="18"/>
      <x:c r="D2" s="18"/>
      <x:c r="E2" s="18"/>
      <x:c r="F2" s="18"/>
    </x:row>
    <x:row r="3">
      <x:c r="A3" s="26" t="str">
        <x:v>Niveau</x:v>
      </x:c>
      <x:c r="B3" s="26" t="str">
        <x:v>Référence/attendu</x:v>
      </x:c>
      <x:c r="C3" s="26" t="str">
        <x:v>Chargé</x:v>
      </x:c>
      <x:c r="D3" s="26" t="str">
        <x:v>Couverture</x:v>
      </x:c>
      <x:c r="E3" s="26" t="str">
        <x:v>État</x:v>
      </x:c>
      <x:c r="F3" s="26" t="str">
        <x:v>Sources</x:v>
      </x:c>
      <x:c r="H3" s="26" t="str">
        <x:v>Niveau</x:v>
      </x:c>
      <x:c r="I3" s="26" t="str">
        <x:v>Référence</x:v>
      </x:c>
      <x:c r="J3" s="26" t="str">
        <x:v>Chargé</x:v>
      </x:c>
    </x:row>
    <x:row r="4">
      <x:c r="A4" s="14" t="str">
        <x:v>Province</x:v>
      </x:c>
      <x:c r="B4" s="14" t="n">
        <x:v>26</x:v>
      </x:c>
      <x:c r="C4" s="14" t="n">
        <x:v>26</x:v>
      </x:c>
      <x:c r="D4" s="14" t="str">
        <x:v>100%</x:v>
      </x:c>
      <x:c r="E4" s="14" t="str">
        <x:v>Chargé et structuré</x:v>
      </x:c>
      <x:c r="F4" s="14" t="str">
        <x:v>S01</x:v>
      </x:c>
      <x:c r="H4" t="str">
        <x:v>Province</x:v>
      </x:c>
      <x:c r="I4" t="n">
        <x:v>26</x:v>
      </x:c>
      <x:c r="J4" t="n">
        <x:v>26</x:v>
      </x:c>
    </x:row>
    <x:row r="5">
      <x:c r="A5" s="14" t="str">
        <x:v>Territoire</x:v>
      </x:c>
      <x:c r="B5" s="14" t="n">
        <x:v>145</x:v>
      </x:c>
      <x:c r="C5" s="14" t="n">
        <x:v>145</x:v>
      </x:c>
      <x:c r="D5" s="14" t="str">
        <x:v>100%</x:v>
      </x:c>
      <x:c r="E5" s="14" t="str">
        <x:v>Chargé; PCodes de travail à valider</x:v>
      </x:c>
      <x:c r="F5" s="14" t="str">
        <x:v>S01;S04;S05</x:v>
      </x:c>
      <x:c r="H5" t="str">
        <x:v>Territoire</x:v>
      </x:c>
      <x:c r="I5" t="n">
        <x:v>145</x:v>
      </x:c>
      <x:c r="J5" t="n">
        <x:v>145</x:v>
      </x:c>
    </x:row>
    <x:row r="6">
      <x:c r="A6" s="14" t="str">
        <x:v>Secteur/Chefferie</x:v>
      </x:c>
      <x:c r="B6" s="14" t="n">
        <x:v>734</x:v>
      </x:c>
      <x:c r="C6" s="14" t="n">
        <x:v>0</x:v>
      </x:c>
      <x:c r="D6" s="14" t="str">
        <x:v>0%</x:v>
      </x:c>
      <x:c r="E6" s="14" t="str">
        <x:v>Schéma prêt; nomenclature détaillée à importer/valider</x:v>
      </x:c>
      <x:c r="F6" s="14" t="str">
        <x:v>S03;S06</x:v>
      </x:c>
      <x:c r="H6" t="str">
        <x:v>Secteur/Chefferie</x:v>
      </x:c>
      <x:c r="I6" t="n">
        <x:v>734</x:v>
      </x:c>
      <x:c r="J6" t="n">
        <x:v>0</x:v>
      </x:c>
    </x:row>
    <x:row r="7">
      <x:c r="A7" s="14" t="str">
        <x:v>Groupement</x:v>
      </x:c>
      <x:c r="B7" s="14"/>
      <x:c r="C7" s="14" t="n">
        <x:v>0</x:v>
      </x:c>
      <x:c r="D7" s="14" t="str">
        <x:v>—</x:v>
      </x:c>
      <x:c r="E7" s="14" t="str">
        <x:v>Schéma prêt; total/nomenclature à consolider</x:v>
      </x:c>
      <x:c r="F7" s="14" t="str">
        <x:v>S02;S09</x:v>
      </x:c>
    </x:row>
    <x:row r="8">
      <x:c r="A8" s="14" t="str">
        <x:v>Village/localité</x:v>
      </x:c>
      <x:c r="B8" s="14"/>
      <x:c r="C8" s="14" t="n">
        <x:v>0</x:v>
      </x:c>
      <x:c r="D8" s="14" t="str">
        <x:v>—</x:v>
      </x:c>
      <x:c r="E8" s="14" t="str">
        <x:v>Schéma prêt; coordonnées prévues; import RGC/RGPH/GRID3 à consolider</x:v>
      </x:c>
      <x:c r="F8" s="14" t="str">
        <x:v>S02;S09;S11</x:v>
      </x:c>
    </x:row>
    <x:row r="9">
      <x:c r="A9" s="14" t="str">
        <x:v>Groupe ethnolinguistique</x:v>
      </x:c>
      <x:c r="B9" s="14"/>
      <x:c r="C9" s="14" t="n">
        <x:v>0</x:v>
      </x:c>
      <x:c r="D9" s="14" t="str">
        <x:v>—</x:v>
      </x:c>
      <x:c r="E9" s="14" t="str">
        <x:v>Schéma prêt; aucune attribution non sourcée</x:v>
      </x:c>
      <x:c r="F9" s="14" t="str">
        <x:v>S07;S08</x:v>
      </x:c>
    </x:row>
    <x:row r="10">
      <x:c r="A10" s="14" t="str">
        <x:v>Langue</x:v>
      </x:c>
      <x:c r="B10" s="14"/>
      <x:c r="C10" s="14" t="n">
        <x:v>0</x:v>
      </x:c>
      <x:c r="D10" s="14" t="str">
        <x:v>—</x:v>
      </x:c>
      <x:c r="E10" s="14" t="str">
        <x:v>Schéma prêt; ISO 639-3 / Glottocode prévus</x:v>
      </x:c>
      <x:c r="F10" s="14" t="str">
        <x:v>S07;S08</x:v>
      </x:c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13702a3ff50545c0"/>
  <x:tableParts count="1">
    <x:tablePart xmlns:r="http://schemas.openxmlformats.org/officeDocument/2006/relationships" r:id="R28e81ce2315b47c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22" hidden="0" customWidth="1"/>
    <x:col min="4" max="4" width="18" hidden="0" customWidth="1"/>
    <x:col min="5" max="5" width="14" hidden="0" customWidth="1"/>
    <x:col min="6" max="6" width="20" hidden="0" customWidth="1"/>
    <x:col min="7" max="7" width="18" hidden="0" customWidth="1"/>
    <x:col min="8" max="8" width="20" hidden="0" customWidth="1"/>
    <x:col min="9" max="9" width="20" hidden="0" customWidth="1"/>
    <x:col min="10" max="10" width="30" hidden="0" customWidth="1"/>
    <x:col min="11" max="11" width="18" hidden="0" customWidth="1"/>
  </x:cols>
  <x:sheetData>
    <x:row r="1" ht="28" customHeight="1">
      <x:c r="A1" s="4" t="str">
        <x:v>Provinces de la République Démocratique du Congo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18" t="str">
        <x:v>Les comptages secteurs/chefferies proviennent de la source administrative consultée; la ventilation nationale par type doit être validée.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</x:row>
    <x:row r="3">
      <x:c r="A3" s="26" t="str">
        <x:v>province_id</x:v>
      </x:c>
      <x:c r="B3" s="26" t="str">
        <x:v>code_interne</x:v>
      </x:c>
      <x:c r="C3" s="26" t="str">
        <x:v>nom_province</x:v>
      </x:c>
      <x:c r="D3" s="26" t="str">
        <x:v>chef_lieu</x:v>
      </x:c>
      <x:c r="E3" s="26" t="str">
        <x:v>prefixe_pcode</x:v>
      </x:c>
      <x:c r="F3" s="26" t="str">
        <x:v>nb_territoires_calcule</x:v>
      </x:c>
      <x:c r="G3" s="26" t="str">
        <x:v>nb_secteurs_source</x:v>
      </x:c>
      <x:c r="H3" s="26" t="str">
        <x:v>nb_chefferies_source</x:v>
      </x:c>
      <x:c r="I3" s="26" t="str">
        <x:v>nb_etd_total_source</x:v>
      </x:c>
      <x:c r="J3" s="26" t="str">
        <x:v>statut_couverture</x:v>
      </x:c>
      <x:c r="K3" s="26" t="str">
        <x:v>sources</x:v>
      </x:c>
    </x:row>
    <x:row r="4">
      <x:c r="A4" s="14" t="n">
        <x:v>1</x:v>
      </x:c>
      <x:c r="B4" s="14" t="str">
        <x:v>COD-P01</x:v>
      </x:c>
      <x:c r="C4" s="14" t="str">
        <x:v>Kinshasa</x:v>
      </x:c>
      <x:c r="D4" s="14" t="str">
        <x:v>Kinshasa</x:v>
      </x:c>
      <x:c r="E4" s="14" t="str">
        <x:v>10</x:v>
      </x:c>
      <x:c r="F4" s="14" t="n">
        <x:f>COUNTIF(Territoires!$C$4:$C$148,C4)</x:f>
        <x:v>0</x:v>
      </x:c>
      <x:c r="G4" s="14" t="n">
        <x:v>0</x:v>
      </x:c>
      <x:c r="H4" s="14" t="n">
        <x:v>0</x:v>
      </x:c>
      <x:c r="I4" s="14" t="n">
        <x:f>G4+H4</x:f>
        <x:v>0</x:v>
      </x:c>
      <x:c r="J4" s="14" t="str">
        <x:v>COMPLET_NIVEAU_PROVINCE_TERRITOIRE</x:v>
      </x:c>
      <x:c r="K4" s="14" t="str">
        <x:v>S01;S03</x:v>
      </x:c>
    </x:row>
    <x:row r="5">
      <x:c r="A5" s="14" t="n">
        <x:v>2</x:v>
      </x:c>
      <x:c r="B5" s="14" t="str">
        <x:v>COD-P02</x:v>
      </x:c>
      <x:c r="C5" s="14" t="str">
        <x:v>Kongo Central</x:v>
      </x:c>
      <x:c r="D5" s="14" t="str">
        <x:v>Matadi</x:v>
      </x:c>
      <x:c r="E5" s="14" t="str">
        <x:v>20</x:v>
      </x:c>
      <x:c r="F5" s="14" t="n">
        <x:f>COUNTIF(Territoires!$C$4:$C$148,C5)</x:f>
        <x:v>10</x:v>
      </x:c>
      <x:c r="G5" s="14" t="n">
        <x:v>55</x:v>
      </x:c>
      <x:c r="H5" s="14" t="n">
        <x:v>0</x:v>
      </x:c>
      <x:c r="I5" s="14" t="n">
        <x:f>G5+H5</x:f>
        <x:v>55</x:v>
      </x:c>
      <x:c r="J5" s="14" t="str">
        <x:v>COMPLET_NIVEAU_PROVINCE_TERRITOIRE</x:v>
      </x:c>
      <x:c r="K5" s="14" t="str">
        <x:v>S01;S03</x:v>
      </x:c>
    </x:row>
    <x:row r="6">
      <x:c r="A6" s="14" t="n">
        <x:v>3</x:v>
      </x:c>
      <x:c r="B6" s="14" t="str">
        <x:v>COD-P03</x:v>
      </x:c>
      <x:c r="C6" s="14" t="str">
        <x:v>Kwango</x:v>
      </x:c>
      <x:c r="D6" s="14" t="str">
        <x:v>Kenge</x:v>
      </x:c>
      <x:c r="E6" s="14" t="str">
        <x:v>31</x:v>
      </x:c>
      <x:c r="F6" s="14" t="n">
        <x:f>COUNTIF(Territoires!$C$4:$C$148,C6)</x:f>
        <x:v>5</x:v>
      </x:c>
      <x:c r="G6" s="14" t="n">
        <x:v>20</x:v>
      </x:c>
      <x:c r="H6" s="14" t="n">
        <x:v>6</x:v>
      </x:c>
      <x:c r="I6" s="14" t="n">
        <x:f>G6+H6</x:f>
        <x:v>26</x:v>
      </x:c>
      <x:c r="J6" s="14" t="str">
        <x:v>COMPLET_NIVEAU_PROVINCE_TERRITOIRE</x:v>
      </x:c>
      <x:c r="K6" s="14" t="str">
        <x:v>S01;S03</x:v>
      </x:c>
    </x:row>
    <x:row r="7">
      <x:c r="A7" s="14" t="n">
        <x:v>4</x:v>
      </x:c>
      <x:c r="B7" s="14" t="str">
        <x:v>COD-P04</x:v>
      </x:c>
      <x:c r="C7" s="14" t="str">
        <x:v>Kwilu</x:v>
      </x:c>
      <x:c r="D7" s="14" t="str">
        <x:v>Bandundu</x:v>
      </x:c>
      <x:c r="E7" s="14" t="str">
        <x:v>32</x:v>
      </x:c>
      <x:c r="F7" s="14" t="n">
        <x:f>COUNTIF(Territoires!$C$4:$C$148,C7)</x:f>
        <x:v>5</x:v>
      </x:c>
      <x:c r="G7" s="14" t="n">
        <x:v>49</x:v>
      </x:c>
      <x:c r="H7" s="14" t="n">
        <x:v>0</x:v>
      </x:c>
      <x:c r="I7" s="14" t="n">
        <x:f>G7+H7</x:f>
        <x:v>49</x:v>
      </x:c>
      <x:c r="J7" s="14" t="str">
        <x:v>COMPLET_NIVEAU_PROVINCE_TERRITOIRE</x:v>
      </x:c>
      <x:c r="K7" s="14" t="str">
        <x:v>S01;S03</x:v>
      </x:c>
    </x:row>
    <x:row r="8">
      <x:c r="A8" s="14" t="n">
        <x:v>5</x:v>
      </x:c>
      <x:c r="B8" s="14" t="str">
        <x:v>COD-P05</x:v>
      </x:c>
      <x:c r="C8" s="14" t="str">
        <x:v>Mai-Ndombe</x:v>
      </x:c>
      <x:c r="D8" s="14" t="str">
        <x:v>Inongo</x:v>
      </x:c>
      <x:c r="E8" s="14" t="str">
        <x:v>33</x:v>
      </x:c>
      <x:c r="F8" s="14" t="n">
        <x:f>COUNTIF(Territoires!$C$4:$C$148,C8)</x:f>
        <x:v>8</x:v>
      </x:c>
      <x:c r="G8" s="14" t="n">
        <x:v>15</x:v>
      </x:c>
      <x:c r="H8" s="14" t="n">
        <x:v>4</x:v>
      </x:c>
      <x:c r="I8" s="14" t="n">
        <x:f>G8+H8</x:f>
        <x:v>19</x:v>
      </x:c>
      <x:c r="J8" s="14" t="str">
        <x:v>COMPLET_NIVEAU_PROVINCE_TERRITOIRE</x:v>
      </x:c>
      <x:c r="K8" s="14" t="str">
        <x:v>S01;S03</x:v>
      </x:c>
    </x:row>
    <x:row r="9">
      <x:c r="A9" s="14" t="n">
        <x:v>6</x:v>
      </x:c>
      <x:c r="B9" s="14" t="str">
        <x:v>COD-P06</x:v>
      </x:c>
      <x:c r="C9" s="14" t="str">
        <x:v>Équateur</x:v>
      </x:c>
      <x:c r="D9" s="14" t="str">
        <x:v>Mbandaka</x:v>
      </x:c>
      <x:c r="E9" s="14" t="str">
        <x:v>41</x:v>
      </x:c>
      <x:c r="F9" s="14" t="n">
        <x:f>COUNTIF(Territoires!$C$4:$C$148,C9)</x:f>
        <x:v>7</x:v>
      </x:c>
      <x:c r="G9" s="14" t="n">
        <x:v>21</x:v>
      </x:c>
      <x:c r="H9" s="14" t="n">
        <x:v>1</x:v>
      </x:c>
      <x:c r="I9" s="14" t="n">
        <x:f>G9+H9</x:f>
        <x:v>22</x:v>
      </x:c>
      <x:c r="J9" s="14" t="str">
        <x:v>COMPLET_NIVEAU_PROVINCE_TERRITOIRE</x:v>
      </x:c>
      <x:c r="K9" s="14" t="str">
        <x:v>S01;S03</x:v>
      </x:c>
    </x:row>
    <x:row r="10">
      <x:c r="A10" s="14" t="n">
        <x:v>7</x:v>
      </x:c>
      <x:c r="B10" s="14" t="str">
        <x:v>COD-P07</x:v>
      </x:c>
      <x:c r="C10" s="14" t="str">
        <x:v>Sud-Ubangi</x:v>
      </x:c>
      <x:c r="D10" s="14" t="str">
        <x:v>Gemena</x:v>
      </x:c>
      <x:c r="E10" s="14" t="str">
        <x:v>42</x:v>
      </x:c>
      <x:c r="F10" s="14" t="n">
        <x:f>COUNTIF(Territoires!$C$4:$C$148,C10)</x:f>
        <x:v>4</x:v>
      </x:c>
      <x:c r="G10" s="14" t="n">
        <x:v>17</x:v>
      </x:c>
      <x:c r="H10" s="14" t="n">
        <x:v>0</x:v>
      </x:c>
      <x:c r="I10" s="14" t="n">
        <x:f>G10+H10</x:f>
        <x:v>17</x:v>
      </x:c>
      <x:c r="J10" s="14" t="str">
        <x:v>COMPLET_NIVEAU_PROVINCE_TERRITOIRE</x:v>
      </x:c>
      <x:c r="K10" s="14" t="str">
        <x:v>S01;S03</x:v>
      </x:c>
    </x:row>
    <x:row r="11">
      <x:c r="A11" s="14" t="n">
        <x:v>8</x:v>
      </x:c>
      <x:c r="B11" s="14" t="str">
        <x:v>COD-P08</x:v>
      </x:c>
      <x:c r="C11" s="14" t="str">
        <x:v>Nord-Ubangi</x:v>
      </x:c>
      <x:c r="D11" s="14" t="str">
        <x:v>Gbadolite</x:v>
      </x:c>
      <x:c r="E11" s="14" t="str">
        <x:v>43</x:v>
      </x:c>
      <x:c r="F11" s="14" t="n">
        <x:f>COUNTIF(Territoires!$C$4:$C$148,C11)</x:f>
        <x:v>4</x:v>
      </x:c>
      <x:c r="G11" s="14" t="n">
        <x:v>11</x:v>
      </x:c>
      <x:c r="H11" s="14" t="n">
        <x:v>0</x:v>
      </x:c>
      <x:c r="I11" s="14" t="n">
        <x:f>G11+H11</x:f>
        <x:v>11</x:v>
      </x:c>
      <x:c r="J11" s="14" t="str">
        <x:v>COMPLET_NIVEAU_PROVINCE_TERRITOIRE</x:v>
      </x:c>
      <x:c r="K11" s="14" t="str">
        <x:v>S01;S03</x:v>
      </x:c>
    </x:row>
    <x:row r="12">
      <x:c r="A12" s="14" t="n">
        <x:v>9</x:v>
      </x:c>
      <x:c r="B12" s="14" t="str">
        <x:v>COD-P09</x:v>
      </x:c>
      <x:c r="C12" s="14" t="str">
        <x:v>Mongala</x:v>
      </x:c>
      <x:c r="D12" s="14" t="str">
        <x:v>Lisala</x:v>
      </x:c>
      <x:c r="E12" s="14" t="str">
        <x:v>44</x:v>
      </x:c>
      <x:c r="F12" s="14" t="n">
        <x:f>COUNTIF(Territoires!$C$4:$C$148,C12)</x:f>
        <x:v>3</x:v>
      </x:c>
      <x:c r="G12" s="14" t="n">
        <x:v>13</x:v>
      </x:c>
      <x:c r="H12" s="14" t="n">
        <x:v>0</x:v>
      </x:c>
      <x:c r="I12" s="14" t="n">
        <x:f>G12+H12</x:f>
        <x:v>13</x:v>
      </x:c>
      <x:c r="J12" s="14" t="str">
        <x:v>COMPLET_NIVEAU_PROVINCE_TERRITOIRE</x:v>
      </x:c>
      <x:c r="K12" s="14" t="str">
        <x:v>S01;S03</x:v>
      </x:c>
    </x:row>
    <x:row r="13">
      <x:c r="A13" s="14" t="n">
        <x:v>10</x:v>
      </x:c>
      <x:c r="B13" s="14" t="str">
        <x:v>COD-P10</x:v>
      </x:c>
      <x:c r="C13" s="14" t="str">
        <x:v>Tshuapa</x:v>
      </x:c>
      <x:c r="D13" s="14" t="str">
        <x:v>Boende</x:v>
      </x:c>
      <x:c r="E13" s="14" t="str">
        <x:v>45</x:v>
      </x:c>
      <x:c r="F13" s="14" t="n">
        <x:f>COUNTIF(Territoires!$C$4:$C$148,C13)</x:f>
        <x:v>6</x:v>
      </x:c>
      <x:c r="G13" s="14" t="n">
        <x:v>23</x:v>
      </x:c>
      <x:c r="H13" s="14" t="n">
        <x:v>1</x:v>
      </x:c>
      <x:c r="I13" s="14" t="n">
        <x:f>G13+H13</x:f>
        <x:v>24</x:v>
      </x:c>
      <x:c r="J13" s="14" t="str">
        <x:v>COMPLET_NIVEAU_PROVINCE_TERRITOIRE</x:v>
      </x:c>
      <x:c r="K13" s="14" t="str">
        <x:v>S01;S03</x:v>
      </x:c>
    </x:row>
    <x:row r="14">
      <x:c r="A14" s="14" t="n">
        <x:v>11</x:v>
      </x:c>
      <x:c r="B14" s="14" t="str">
        <x:v>COD-P11</x:v>
      </x:c>
      <x:c r="C14" s="14" t="str">
        <x:v>Tshopo</x:v>
      </x:c>
      <x:c r="D14" s="14" t="str">
        <x:v>Kisangani</x:v>
      </x:c>
      <x:c r="E14" s="14" t="str">
        <x:v>51</x:v>
      </x:c>
      <x:c r="F14" s="14" t="n">
        <x:f>COUNTIF(Territoires!$C$4:$C$148,C14)</x:f>
        <x:v>7</x:v>
      </x:c>
      <x:c r="G14" s="14" t="n">
        <x:v>39</x:v>
      </x:c>
      <x:c r="H14" s="14" t="n">
        <x:v>19</x:v>
      </x:c>
      <x:c r="I14" s="14" t="n">
        <x:f>G14+H14</x:f>
        <x:v>58</x:v>
      </x:c>
      <x:c r="J14" s="14" t="str">
        <x:v>COMPLET_NIVEAU_PROVINCE_TERRITOIRE</x:v>
      </x:c>
      <x:c r="K14" s="14" t="str">
        <x:v>S01;S03</x:v>
      </x:c>
    </x:row>
    <x:row r="15">
      <x:c r="A15" s="14" t="n">
        <x:v>12</x:v>
      </x:c>
      <x:c r="B15" s="14" t="str">
        <x:v>COD-P12</x:v>
      </x:c>
      <x:c r="C15" s="14" t="str">
        <x:v>Bas-Uele</x:v>
      </x:c>
      <x:c r="D15" s="14" t="str">
        <x:v>Buta</x:v>
      </x:c>
      <x:c r="E15" s="14" t="str">
        <x:v>52</x:v>
      </x:c>
      <x:c r="F15" s="14" t="n">
        <x:f>COUNTIF(Territoires!$C$4:$C$148,C15)</x:f>
        <x:v>6</x:v>
      </x:c>
      <x:c r="G15" s="14" t="n">
        <x:v>7</x:v>
      </x:c>
      <x:c r="H15" s="14" t="n">
        <x:v>42</x:v>
      </x:c>
      <x:c r="I15" s="14" t="n">
        <x:f>G15+H15</x:f>
        <x:v>49</x:v>
      </x:c>
      <x:c r="J15" s="14" t="str">
        <x:v>COMPLET_NIVEAU_PROVINCE_TERRITOIRE</x:v>
      </x:c>
      <x:c r="K15" s="14" t="str">
        <x:v>S01;S03</x:v>
      </x:c>
    </x:row>
    <x:row r="16">
      <x:c r="A16" s="14" t="n">
        <x:v>13</x:v>
      </x:c>
      <x:c r="B16" s="14" t="str">
        <x:v>COD-P13</x:v>
      </x:c>
      <x:c r="C16" s="14" t="str">
        <x:v>Haut-Uele</x:v>
      </x:c>
      <x:c r="D16" s="14" t="str">
        <x:v>Isiro</x:v>
      </x:c>
      <x:c r="E16" s="14" t="str">
        <x:v>53</x:v>
      </x:c>
      <x:c r="F16" s="14" t="n">
        <x:f>COUNTIF(Territoires!$C$4:$C$148,C16)</x:f>
        <x:v>6</x:v>
      </x:c>
      <x:c r="G16" s="14" t="n">
        <x:v>4</x:v>
      </x:c>
      <x:c r="H16" s="14" t="n">
        <x:v>40</x:v>
      </x:c>
      <x:c r="I16" s="14" t="n">
        <x:f>G16+H16</x:f>
        <x:v>44</x:v>
      </x:c>
      <x:c r="J16" s="14" t="str">
        <x:v>COMPLET_NIVEAU_PROVINCE_TERRITOIRE</x:v>
      </x:c>
      <x:c r="K16" s="14" t="str">
        <x:v>S01;S03</x:v>
      </x:c>
    </x:row>
    <x:row r="17">
      <x:c r="A17" s="14" t="n">
        <x:v>14</x:v>
      </x:c>
      <x:c r="B17" s="14" t="str">
        <x:v>COD-P14</x:v>
      </x:c>
      <x:c r="C17" s="14" t="str">
        <x:v>Ituri</x:v>
      </x:c>
      <x:c r="D17" s="14" t="str">
        <x:v>Bunia</x:v>
      </x:c>
      <x:c r="E17" s="14" t="str">
        <x:v>54</x:v>
      </x:c>
      <x:c r="F17" s="14" t="n">
        <x:f>COUNTIF(Territoires!$C$4:$C$148,C17)</x:f>
        <x:v>5</x:v>
      </x:c>
      <x:c r="G17" s="14" t="n">
        <x:v>6</x:v>
      </x:c>
      <x:c r="H17" s="14" t="n">
        <x:v>42</x:v>
      </x:c>
      <x:c r="I17" s="14" t="n">
        <x:f>G17+H17</x:f>
        <x:v>48</x:v>
      </x:c>
      <x:c r="J17" s="14" t="str">
        <x:v>COMPLET_NIVEAU_PROVINCE_TERRITOIRE</x:v>
      </x:c>
      <x:c r="K17" s="14" t="str">
        <x:v>S01;S03</x:v>
      </x:c>
    </x:row>
    <x:row r="18">
      <x:c r="A18" s="14" t="n">
        <x:v>15</x:v>
      </x:c>
      <x:c r="B18" s="14" t="str">
        <x:v>COD-P15</x:v>
      </x:c>
      <x:c r="C18" s="14" t="str">
        <x:v>Nord-Kivu</x:v>
      </x:c>
      <x:c r="D18" s="14" t="str">
        <x:v>Goma</x:v>
      </x:c>
      <x:c r="E18" s="14" t="str">
        <x:v>61</x:v>
      </x:c>
      <x:c r="F18" s="14" t="n">
        <x:f>COUNTIF(Territoires!$C$4:$C$148,C18)</x:f>
        <x:v>6</x:v>
      </x:c>
      <x:c r="G18" s="14" t="n">
        <x:v>7</x:v>
      </x:c>
      <x:c r="H18" s="14" t="n">
        <x:v>10</x:v>
      </x:c>
      <x:c r="I18" s="14" t="n">
        <x:f>G18+H18</x:f>
        <x:v>17</x:v>
      </x:c>
      <x:c r="J18" s="14" t="str">
        <x:v>COMPLET_NIVEAU_PROVINCE_TERRITOIRE</x:v>
      </x:c>
      <x:c r="K18" s="14" t="str">
        <x:v>S01;S03</x:v>
      </x:c>
    </x:row>
    <x:row r="19">
      <x:c r="A19" s="14" t="n">
        <x:v>16</x:v>
      </x:c>
      <x:c r="B19" s="14" t="str">
        <x:v>COD-P16</x:v>
      </x:c>
      <x:c r="C19" s="14" t="str">
        <x:v>Sud-Kivu</x:v>
      </x:c>
      <x:c r="D19" s="14" t="str">
        <x:v>Bukavu</x:v>
      </x:c>
      <x:c r="E19" s="14" t="str">
        <x:v>62</x:v>
      </x:c>
      <x:c r="F19" s="14" t="n">
        <x:f>COUNTIF(Territoires!$C$4:$C$148,C19)</x:f>
        <x:v>8</x:v>
      </x:c>
      <x:c r="G19" s="14" t="n">
        <x:v>5</x:v>
      </x:c>
      <x:c r="H19" s="14" t="n">
        <x:v>18</x:v>
      </x:c>
      <x:c r="I19" s="14" t="n">
        <x:f>G19+H19</x:f>
        <x:v>23</x:v>
      </x:c>
      <x:c r="J19" s="14" t="str">
        <x:v>COMPLET_NIVEAU_PROVINCE_TERRITOIRE</x:v>
      </x:c>
      <x:c r="K19" s="14" t="str">
        <x:v>S01;S03</x:v>
      </x:c>
    </x:row>
    <x:row r="20">
      <x:c r="A20" s="14" t="n">
        <x:v>17</x:v>
      </x:c>
      <x:c r="B20" s="14" t="str">
        <x:v>COD-P17</x:v>
      </x:c>
      <x:c r="C20" s="14" t="str">
        <x:v>Maniema</x:v>
      </x:c>
      <x:c r="D20" s="14" t="str">
        <x:v>Kindu</x:v>
      </x:c>
      <x:c r="E20" s="14" t="str">
        <x:v>63</x:v>
      </x:c>
      <x:c r="F20" s="14" t="n">
        <x:f>COUNTIF(Territoires!$C$4:$C$148,C20)</x:f>
        <x:v>7</x:v>
      </x:c>
      <x:c r="G20" s="14" t="n">
        <x:v>21</x:v>
      </x:c>
      <x:c r="H20" s="14" t="n">
        <x:v>13</x:v>
      </x:c>
      <x:c r="I20" s="14" t="n">
        <x:f>G20+H20</x:f>
        <x:v>34</x:v>
      </x:c>
      <x:c r="J20" s="14" t="str">
        <x:v>COMPLET_NIVEAU_PROVINCE_TERRITOIRE</x:v>
      </x:c>
      <x:c r="K20" s="14" t="str">
        <x:v>S01;S03</x:v>
      </x:c>
    </x:row>
    <x:row r="21">
      <x:c r="A21" s="14" t="n">
        <x:v>18</x:v>
      </x:c>
      <x:c r="B21" s="14" t="str">
        <x:v>COD-P18</x:v>
      </x:c>
      <x:c r="C21" s="14" t="str">
        <x:v>Haut-Katanga</x:v>
      </x:c>
      <x:c r="D21" s="14" t="str">
        <x:v>Lubumbashi</x:v>
      </x:c>
      <x:c r="E21" s="14" t="str">
        <x:v>71</x:v>
      </x:c>
      <x:c r="F21" s="14" t="n">
        <x:f>COUNTIF(Territoires!$C$4:$C$148,C21)</x:f>
        <x:v>6</x:v>
      </x:c>
      <x:c r="G21" s="14" t="n">
        <x:v>13</x:v>
      </x:c>
      <x:c r="H21" s="14" t="n">
        <x:v>7</x:v>
      </x:c>
      <x:c r="I21" s="14" t="n">
        <x:f>G21+H21</x:f>
        <x:v>20</x:v>
      </x:c>
      <x:c r="J21" s="14" t="str">
        <x:v>COMPLET_NIVEAU_PROVINCE_TERRITOIRE</x:v>
      </x:c>
      <x:c r="K21" s="14" t="str">
        <x:v>S01;S03</x:v>
      </x:c>
    </x:row>
    <x:row r="22">
      <x:c r="A22" s="14" t="n">
        <x:v>19</x:v>
      </x:c>
      <x:c r="B22" s="14" t="str">
        <x:v>COD-P19</x:v>
      </x:c>
      <x:c r="C22" s="14" t="str">
        <x:v>Lualaba</x:v>
      </x:c>
      <x:c r="D22" s="14" t="str">
        <x:v>Kolwezi</x:v>
      </x:c>
      <x:c r="E22" s="14" t="str">
        <x:v>72</x:v>
      </x:c>
      <x:c r="F22" s="14" t="n">
        <x:f>COUNTIF(Territoires!$C$4:$C$148,C22)</x:f>
        <x:v>5</x:v>
      </x:c>
      <x:c r="G22" s="14" t="n">
        <x:v>6</x:v>
      </x:c>
      <x:c r="H22" s="14" t="n">
        <x:v>19</x:v>
      </x:c>
      <x:c r="I22" s="14" t="n">
        <x:f>G22+H22</x:f>
        <x:v>25</x:v>
      </x:c>
      <x:c r="J22" s="14" t="str">
        <x:v>COMPLET_NIVEAU_PROVINCE_TERRITOIRE</x:v>
      </x:c>
      <x:c r="K22" s="14" t="str">
        <x:v>S01;S03</x:v>
      </x:c>
    </x:row>
    <x:row r="23">
      <x:c r="A23" s="14" t="n">
        <x:v>20</x:v>
      </x:c>
      <x:c r="B23" s="14" t="str">
        <x:v>COD-P20</x:v>
      </x:c>
      <x:c r="C23" s="14" t="str">
        <x:v>Haut-Lomami</x:v>
      </x:c>
      <x:c r="D23" s="14" t="str">
        <x:v>Kamina</x:v>
      </x:c>
      <x:c r="E23" s="14" t="str">
        <x:v>73</x:v>
      </x:c>
      <x:c r="F23" s="14" t="n">
        <x:f>COUNTIF(Territoires!$C$4:$C$148,C23)</x:f>
        <x:v>5</x:v>
      </x:c>
      <x:c r="G23" s="14" t="n">
        <x:v>6</x:v>
      </x:c>
      <x:c r="H23" s="14" t="n">
        <x:v>13</x:v>
      </x:c>
      <x:c r="I23" s="14" t="n">
        <x:f>G23+H23</x:f>
        <x:v>19</x:v>
      </x:c>
      <x:c r="J23" s="14" t="str">
        <x:v>COMPLET_NIVEAU_PROVINCE_TERRITOIRE</x:v>
      </x:c>
      <x:c r="K23" s="14" t="str">
        <x:v>S01;S03</x:v>
      </x:c>
    </x:row>
    <x:row r="24">
      <x:c r="A24" s="14" t="n">
        <x:v>21</x:v>
      </x:c>
      <x:c r="B24" s="14" t="str">
        <x:v>COD-P21</x:v>
      </x:c>
      <x:c r="C24" s="14" t="str">
        <x:v>Tanganyika</x:v>
      </x:c>
      <x:c r="D24" s="14" t="str">
        <x:v>Kalemie</x:v>
      </x:c>
      <x:c r="E24" s="14" t="str">
        <x:v>74</x:v>
      </x:c>
      <x:c r="F24" s="14" t="n">
        <x:f>COUNTIF(Territoires!$C$4:$C$148,C24)</x:f>
        <x:v>6</x:v>
      </x:c>
      <x:c r="G24" s="14" t="n">
        <x:v>12</x:v>
      </x:c>
      <x:c r="H24" s="14" t="n">
        <x:v>17</x:v>
      </x:c>
      <x:c r="I24" s="14" t="n">
        <x:f>G24+H24</x:f>
        <x:v>29</x:v>
      </x:c>
      <x:c r="J24" s="14" t="str">
        <x:v>COMPLET_NIVEAU_PROVINCE_TERRITOIRE</x:v>
      </x:c>
      <x:c r="K24" s="14" t="str">
        <x:v>S01;S03</x:v>
      </x:c>
    </x:row>
    <x:row r="25">
      <x:c r="A25" s="14" t="n">
        <x:v>22</x:v>
      </x:c>
      <x:c r="B25" s="14" t="str">
        <x:v>COD-P22</x:v>
      </x:c>
      <x:c r="C25" s="14" t="str">
        <x:v>Lomami</x:v>
      </x:c>
      <x:c r="D25" s="14" t="str">
        <x:v>Kabinda</x:v>
      </x:c>
      <x:c r="E25" s="14" t="str">
        <x:v>81</x:v>
      </x:c>
      <x:c r="F25" s="14" t="n">
        <x:f>COUNTIF(Territoires!$C$4:$C$148,C25)</x:f>
        <x:v>5</x:v>
      </x:c>
      <x:c r="G25" s="14" t="n">
        <x:v>16</x:v>
      </x:c>
      <x:c r="H25" s="14" t="n">
        <x:v>5</x:v>
      </x:c>
      <x:c r="I25" s="14" t="n">
        <x:f>G25+H25</x:f>
        <x:v>21</x:v>
      </x:c>
      <x:c r="J25" s="14" t="str">
        <x:v>COMPLET_NIVEAU_PROVINCE_TERRITOIRE</x:v>
      </x:c>
      <x:c r="K25" s="14" t="str">
        <x:v>S01;S03</x:v>
      </x:c>
    </x:row>
    <x:row r="26">
      <x:c r="A26" s="14" t="n">
        <x:v>23</x:v>
      </x:c>
      <x:c r="B26" s="14" t="str">
        <x:v>COD-P23</x:v>
      </x:c>
      <x:c r="C26" s="14" t="str">
        <x:v>Kasaï-Oriental</x:v>
      </x:c>
      <x:c r="D26" s="14" t="str">
        <x:v>Mbuji-Mayi</x:v>
      </x:c>
      <x:c r="E26" s="14" t="str">
        <x:v>82</x:v>
      </x:c>
      <x:c r="F26" s="14" t="n">
        <x:f>COUNTIF(Territoires!$C$4:$C$148,C26)</x:f>
        <x:v>5</x:v>
      </x:c>
      <x:c r="G26" s="14" t="n">
        <x:v>16</x:v>
      </x:c>
      <x:c r="H26" s="14" t="n">
        <x:v>1</x:v>
      </x:c>
      <x:c r="I26" s="14" t="n">
        <x:f>G26+H26</x:f>
        <x:v>17</x:v>
      </x:c>
      <x:c r="J26" s="14" t="str">
        <x:v>COMPLET_NIVEAU_PROVINCE_TERRITOIRE</x:v>
      </x:c>
      <x:c r="K26" s="14" t="str">
        <x:v>S01;S03</x:v>
      </x:c>
    </x:row>
    <x:row r="27">
      <x:c r="A27" s="14" t="n">
        <x:v>24</x:v>
      </x:c>
      <x:c r="B27" s="14" t="str">
        <x:v>COD-P24</x:v>
      </x:c>
      <x:c r="C27" s="14" t="str">
        <x:v>Sankuru</x:v>
      </x:c>
      <x:c r="D27" s="14" t="str">
        <x:v>Lusambo</x:v>
      </x:c>
      <x:c r="E27" s="14" t="str">
        <x:v>83</x:v>
      </x:c>
      <x:c r="F27" s="14" t="n">
        <x:f>COUNTIF(Territoires!$C$4:$C$148,C27)</x:f>
        <x:v>6</x:v>
      </x:c>
      <x:c r="G27" s="14" t="n">
        <x:v>39</x:v>
      </x:c>
      <x:c r="H27" s="14" t="n">
        <x:v>2</x:v>
      </x:c>
      <x:c r="I27" s="14" t="n">
        <x:f>G27+H27</x:f>
        <x:v>41</x:v>
      </x:c>
      <x:c r="J27" s="14" t="str">
        <x:v>COMPLET_NIVEAU_PROVINCE_TERRITOIRE</x:v>
      </x:c>
      <x:c r="K27" s="14" t="str">
        <x:v>S01;S03</x:v>
      </x:c>
    </x:row>
    <x:row r="28">
      <x:c r="A28" s="14" t="n">
        <x:v>25</x:v>
      </x:c>
      <x:c r="B28" s="14" t="str">
        <x:v>COD-P25</x:v>
      </x:c>
      <x:c r="C28" s="14" t="str">
        <x:v>Kasaï-Central</x:v>
      </x:c>
      <x:c r="D28" s="14" t="str">
        <x:v>Kananga</x:v>
      </x:c>
      <x:c r="E28" s="14" t="str">
        <x:v>91</x:v>
      </x:c>
      <x:c r="F28" s="14" t="n">
        <x:f>COUNTIF(Territoires!$C$4:$C$148,C28)</x:f>
        <x:v>5</x:v>
      </x:c>
      <x:c r="G28" s="14" t="n">
        <x:v>33</x:v>
      </x:c>
      <x:c r="H28" s="14" t="n">
        <x:v>0</x:v>
      </x:c>
      <x:c r="I28" s="14" t="n">
        <x:f>G28+H28</x:f>
        <x:v>33</x:v>
      </x:c>
      <x:c r="J28" s="14" t="str">
        <x:v>COMPLET_NIVEAU_PROVINCE_TERRITOIRE</x:v>
      </x:c>
      <x:c r="K28" s="14" t="str">
        <x:v>S01;S03</x:v>
      </x:c>
    </x:row>
    <x:row r="29">
      <x:c r="A29" s="14" t="n">
        <x:v>26</x:v>
      </x:c>
      <x:c r="B29" s="14" t="str">
        <x:v>COD-P26</x:v>
      </x:c>
      <x:c r="C29" s="14" t="str">
        <x:v>Kasaï</x:v>
      </x:c>
      <x:c r="D29" s="14" t="str">
        <x:v>Tshikapa</x:v>
      </x:c>
      <x:c r="E29" s="14" t="str">
        <x:v>92</x:v>
      </x:c>
      <x:c r="F29" s="14" t="n">
        <x:f>COUNTIF(Territoires!$C$4:$C$148,C29)</x:f>
        <x:v>5</x:v>
      </x:c>
      <x:c r="G29" s="14" t="n">
        <x:v>17</x:v>
      </x:c>
      <x:c r="H29" s="14" t="n">
        <x:v>3</x:v>
      </x:c>
      <x:c r="I29" s="14" t="n">
        <x:f>G29+H29</x:f>
        <x:v>20</x:v>
      </x:c>
      <x:c r="J29" s="14" t="str">
        <x:v>COMPLET_NIVEAU_PROVINCE_TERRITOIRE</x:v>
      </x:c>
      <x:c r="K29" s="14" t="str">
        <x:v>S01;S03</x:v>
      </x:c>
    </x:row>
    <x:row r="31">
      <x:c r="C31" s="10" t="str">
        <x:v>TOTAL NATIONAL</x:v>
      </x:c>
      <x:c r="D31" s="10" t="str"/>
      <x:c r="E31" s="10" t="str"/>
      <x:c r="F31" s="10" t="n">
        <x:f>SUM(F4:F29)</x:f>
        <x:v>145</x:v>
      </x:c>
      <x:c r="G31" s="10" t="n">
        <x:f>SUM(G4:G29)</x:f>
        <x:v>471</x:v>
      </x:c>
      <x:c r="H31" s="10" t="n">
        <x:f>SUM(H4:H29)</x:f>
        <x:v>263</x:v>
      </x:c>
      <x:c r="I31" s="10" t="n">
        <x:f>SUM(I4:I29)</x:f>
        <x:v>734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8ef8dd20fad8473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3" hidden="0" customWidth="1"/>
    <x:col min="5" max="5" width="18" hidden="0" customWidth="1"/>
    <x:col min="6" max="6" width="21" hidden="0" customWidth="1"/>
    <x:col min="7" max="7" width="16" hidden="0" customWidth="1"/>
    <x:col min="8" max="8" width="29" hidden="0" customWidth="1"/>
    <x:col min="9" max="9" width="14" hidden="0" customWidth="1"/>
    <x:col min="10" max="10" width="60" hidden="0" customWidth="1"/>
    <x:col min="11" max="11" width="16" hidden="0" customWidth="1"/>
  </x:cols>
  <x:sheetData>
    <x:row r="1" ht="28" customHeight="1">
      <x:c r="A1" s="4" t="str">
        <x:v>145 territoires ruraux — référentiel de travail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18" t="str">
        <x:v>Les PCodes sont conservés comme données brutes de travail et ne doivent pas être considérés comme validés. Voir la feuille QA.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</x:row>
    <x:row r="3">
      <x:c r="A3" s="26" t="str">
        <x:v>territoire_id</x:v>
      </x:c>
      <x:c r="B3" s="26" t="str">
        <x:v>province_id</x:v>
      </x:c>
      <x:c r="C3" s="26" t="str">
        <x:v>province</x:v>
      </x:c>
      <x:c r="D3" s="26" t="str">
        <x:v>nom_territoire</x:v>
      </x:c>
      <x:c r="E3" s="26" t="str">
        <x:v>code_interne</x:v>
      </x:c>
      <x:c r="F3" s="26" t="str">
        <x:v>pcode_reference_brut</x:v>
      </x:c>
      <x:c r="G3" s="26" t="str">
        <x:v>prefixe_attendu</x:v>
      </x:c>
      <x:c r="H3" s="26" t="str">
        <x:v>statut_pcode</x:v>
      </x:c>
      <x:c r="I3" s="26" t="str">
        <x:v>source_pcode</x:v>
      </x:c>
      <x:c r="J3" s="26" t="str">
        <x:v>commentaire_qa</x:v>
      </x:c>
      <x:c r="K3" s="26" t="str">
        <x:v>date_integration</x:v>
      </x:c>
    </x:row>
    <x:row r="4">
      <x:c r="A4" s="14" t="n">
        <x:v>1</x:v>
      </x:c>
      <x:c r="B4" s="14" t="n">
        <x:v>2</x:v>
      </x:c>
      <x:c r="C4" s="14" t="str">
        <x:v>Kongo Central</x:v>
      </x:c>
      <x:c r="D4" s="14" t="str">
        <x:v>Kasangulu</x:v>
      </x:c>
      <x:c r="E4" s="14" t="str">
        <x:v>COD-P02-T01</x:v>
      </x:c>
      <x:c r="F4" s="14" t="str">
        <x:v>2016</x:v>
      </x:c>
      <x:c r="G4" s="14" t="str">
        <x:v>20</x:v>
      </x:c>
      <x:c r="H4" s="14" t="str">
        <x:v>SOURCE_SECONDAIRE_A_VALIDER</x:v>
      </x:c>
      <x:c r="I4" s="14" t="str">
        <x:v>S05</x:v>
      </x:c>
      <x:c r="J4" s="14" t="str">
        <x:v>PCode conservé comme valeur de travail; validation officielle requise.</x:v>
      </x:c>
      <x:c r="K4" s="14" t="str">
        <x:v>2026-09-13</x:v>
      </x:c>
    </x:row>
    <x:row r="5">
      <x:c r="A5" s="14" t="n">
        <x:v>2</x:v>
      </x:c>
      <x:c r="B5" s="14" t="n">
        <x:v>2</x:v>
      </x:c>
      <x:c r="C5" s="14" t="str">
        <x:v>Kongo Central</x:v>
      </x:c>
      <x:c r="D5" s="14" t="str">
        <x:v>Kimvula</x:v>
      </x:c>
      <x:c r="E5" s="14" t="str">
        <x:v>COD-P02-T02</x:v>
      </x:c>
      <x:c r="F5" s="14" t="str">
        <x:v>2019</x:v>
      </x:c>
      <x:c r="G5" s="14" t="str">
        <x:v>20</x:v>
      </x:c>
      <x:c r="H5" s="14" t="str">
        <x:v>SOURCE_SECONDAIRE_A_VALIDER</x:v>
      </x:c>
      <x:c r="I5" s="14" t="str">
        <x:v>S05</x:v>
      </x:c>
      <x:c r="J5" s="14" t="str">
        <x:v>PCode conservé comme valeur de travail; validation officielle requise.</x:v>
      </x:c>
      <x:c r="K5" s="14" t="str">
        <x:v>2026-09-13</x:v>
      </x:c>
    </x:row>
    <x:row r="6">
      <x:c r="A6" s="14" t="n">
        <x:v>3</x:v>
      </x:c>
      <x:c r="B6" s="14" t="n">
        <x:v>2</x:v>
      </x:c>
      <x:c r="C6" s="14" t="str">
        <x:v>Kongo Central</x:v>
      </x:c>
      <x:c r="D6" s="14" t="str">
        <x:v>Lukula</x:v>
      </x:c>
      <x:c r="E6" s="14" t="str">
        <x:v>COD-P02-T03</x:v>
      </x:c>
      <x:c r="F6" s="14" t="str">
        <x:v>2006</x:v>
      </x:c>
      <x:c r="G6" s="14" t="str">
        <x:v>20</x:v>
      </x:c>
      <x:c r="H6" s="14" t="str">
        <x:v>SOURCE_SECONDAIRE_A_VALIDER</x:v>
      </x:c>
      <x:c r="I6" s="14" t="str">
        <x:v>S05</x:v>
      </x:c>
      <x:c r="J6" s="14" t="str">
        <x:v>PCode conservé comme valeur de travail; validation officielle requise.</x:v>
      </x:c>
      <x:c r="K6" s="14" t="str">
        <x:v>2026-09-13</x:v>
      </x:c>
    </x:row>
    <x:row r="7">
      <x:c r="A7" s="14" t="n">
        <x:v>4</x:v>
      </x:c>
      <x:c r="B7" s="14" t="n">
        <x:v>2</x:v>
      </x:c>
      <x:c r="C7" s="14" t="str">
        <x:v>Kongo Central</x:v>
      </x:c>
      <x:c r="D7" s="14" t="str">
        <x:v>Luozi</x:v>
      </x:c>
      <x:c r="E7" s="14" t="str">
        <x:v>COD-P02-T04</x:v>
      </x:c>
      <x:c r="F7" s="14" t="str">
        <x:v>2010</x:v>
      </x:c>
      <x:c r="G7" s="14" t="str">
        <x:v>20</x:v>
      </x:c>
      <x:c r="H7" s="14" t="str">
        <x:v>SOURCE_SECONDAIRE_A_VALIDER</x:v>
      </x:c>
      <x:c r="I7" s="14" t="str">
        <x:v>S05</x:v>
      </x:c>
      <x:c r="J7" s="14" t="str">
        <x:v>PCode conservé comme valeur de travail; validation officielle requise.</x:v>
      </x:c>
      <x:c r="K7" s="14" t="str">
        <x:v>2026-09-13</x:v>
      </x:c>
    </x:row>
    <x:row r="8">
      <x:c r="A8" s="14" t="n">
        <x:v>5</x:v>
      </x:c>
      <x:c r="B8" s="14" t="n">
        <x:v>2</x:v>
      </x:c>
      <x:c r="C8" s="14" t="str">
        <x:v>Kongo Central</x:v>
      </x:c>
      <x:c r="D8" s="14" t="str">
        <x:v>Madimba</x:v>
      </x:c>
      <x:c r="E8" s="14" t="str">
        <x:v>COD-P02-T05</x:v>
      </x:c>
      <x:c r="F8" s="14" t="str">
        <x:v>2017</x:v>
      </x:c>
      <x:c r="G8" s="14" t="str">
        <x:v>20</x:v>
      </x:c>
      <x:c r="H8" s="14" t="str">
        <x:v>SOURCE_SECONDAIRE_A_VALIDER</x:v>
      </x:c>
      <x:c r="I8" s="14" t="str">
        <x:v>S05</x:v>
      </x:c>
      <x:c r="J8" s="14" t="str">
        <x:v>PCode conservé comme valeur de travail; validation officielle requise.</x:v>
      </x:c>
      <x:c r="K8" s="14" t="str">
        <x:v>2026-09-13</x:v>
      </x:c>
    </x:row>
    <x:row r="9">
      <x:c r="A9" s="14" t="n">
        <x:v>6</x:v>
      </x:c>
      <x:c r="B9" s="14" t="n">
        <x:v>2</x:v>
      </x:c>
      <x:c r="C9" s="14" t="str">
        <x:v>Kongo Central</x:v>
      </x:c>
      <x:c r="D9" s="14" t="str">
        <x:v>Mbanza-Ngungu</x:v>
      </x:c>
      <x:c r="E9" s="14" t="str">
        <x:v>COD-P02-T06</x:v>
      </x:c>
      <x:c r="F9" s="14" t="str">
        <x:v>2014</x:v>
      </x:c>
      <x:c r="G9" s="14" t="str">
        <x:v>20</x:v>
      </x:c>
      <x:c r="H9" s="14" t="str">
        <x:v>SOURCE_SECONDAIRE_A_VALIDER</x:v>
      </x:c>
      <x:c r="I9" s="14" t="str">
        <x:v>S05</x:v>
      </x:c>
      <x:c r="J9" s="14" t="str">
        <x:v>PCode conservé comme valeur de travail; validation officielle requise.</x:v>
      </x:c>
      <x:c r="K9" s="14" t="str">
        <x:v>2026-09-13</x:v>
      </x:c>
    </x:row>
    <x:row r="10">
      <x:c r="A10" s="14" t="n">
        <x:v>7</x:v>
      </x:c>
      <x:c r="B10" s="14" t="n">
        <x:v>2</x:v>
      </x:c>
      <x:c r="C10" s="14" t="str">
        <x:v>Kongo Central</x:v>
      </x:c>
      <x:c r="D10" s="14" t="str">
        <x:v>Moanda</x:v>
      </x:c>
      <x:c r="E10" s="14" t="str">
        <x:v>COD-P02-T07</x:v>
      </x:c>
      <x:c r="F10" s="14" t="str">
        <x:v>2004</x:v>
      </x:c>
      <x:c r="G10" s="14" t="str">
        <x:v>20</x:v>
      </x:c>
      <x:c r="H10" s="14" t="str">
        <x:v>SOURCE_SECONDAIRE_A_VALIDER</x:v>
      </x:c>
      <x:c r="I10" s="14" t="str">
        <x:v>S05</x:v>
      </x:c>
      <x:c r="J10" s="14" t="str">
        <x:v>PCode conservé comme valeur de travail; validation officielle requise.</x:v>
      </x:c>
      <x:c r="K10" s="14" t="str">
        <x:v>2026-09-13</x:v>
      </x:c>
    </x:row>
    <x:row r="11">
      <x:c r="A11" s="14" t="n">
        <x:v>8</x:v>
      </x:c>
      <x:c r="B11" s="14" t="n">
        <x:v>2</x:v>
      </x:c>
      <x:c r="C11" s="14" t="str">
        <x:v>Kongo Central</x:v>
      </x:c>
      <x:c r="D11" s="14" t="str">
        <x:v>Seke-Banza</x:v>
      </x:c>
      <x:c r="E11" s="14" t="str">
        <x:v>COD-P02-T08</x:v>
      </x:c>
      <x:c r="F11" s="14" t="str">
        <x:v>2009</x:v>
      </x:c>
      <x:c r="G11" s="14" t="str">
        <x:v>20</x:v>
      </x:c>
      <x:c r="H11" s="14" t="str">
        <x:v>SOURCE_SECONDAIRE_A_VALIDER</x:v>
      </x:c>
      <x:c r="I11" s="14" t="str">
        <x:v>S05</x:v>
      </x:c>
      <x:c r="J11" s="14" t="str">
        <x:v>PCode conservé comme valeur de travail; validation officielle requise.</x:v>
      </x:c>
      <x:c r="K11" s="14" t="str">
        <x:v>2026-09-13</x:v>
      </x:c>
    </x:row>
    <x:row r="12">
      <x:c r="A12" s="14" t="n">
        <x:v>9</x:v>
      </x:c>
      <x:c r="B12" s="14" t="n">
        <x:v>2</x:v>
      </x:c>
      <x:c r="C12" s="14" t="str">
        <x:v>Kongo Central</x:v>
      </x:c>
      <x:c r="D12" s="14" t="str">
        <x:v>Songololo</x:v>
      </x:c>
      <x:c r="E12" s="14" t="str">
        <x:v>COD-P02-T09</x:v>
      </x:c>
      <x:c r="F12" s="14" t="str">
        <x:v>2011</x:v>
      </x:c>
      <x:c r="G12" s="14" t="str">
        <x:v>20</x:v>
      </x:c>
      <x:c r="H12" s="14" t="str">
        <x:v>SOURCE_SECONDAIRE_A_VALIDER</x:v>
      </x:c>
      <x:c r="I12" s="14" t="str">
        <x:v>S05</x:v>
      </x:c>
      <x:c r="J12" s="14" t="str">
        <x:v>PCode conservé comme valeur de travail; validation officielle requise.</x:v>
      </x:c>
      <x:c r="K12" s="14" t="str">
        <x:v>2026-09-13</x:v>
      </x:c>
    </x:row>
    <x:row r="13">
      <x:c r="A13" s="14" t="n">
        <x:v>10</x:v>
      </x:c>
      <x:c r="B13" s="14" t="n">
        <x:v>2</x:v>
      </x:c>
      <x:c r="C13" s="14" t="str">
        <x:v>Kongo Central</x:v>
      </x:c>
      <x:c r="D13" s="14" t="str">
        <x:v>Tshela</x:v>
      </x:c>
      <x:c r="E13" s="14" t="str">
        <x:v>COD-P02-T10</x:v>
      </x:c>
      <x:c r="F13" s="14" t="str">
        <x:v>2008</x:v>
      </x:c>
      <x:c r="G13" s="14" t="str">
        <x:v>20</x:v>
      </x:c>
      <x:c r="H13" s="14" t="str">
        <x:v>SOURCE_SECONDAIRE_A_VALIDER</x:v>
      </x:c>
      <x:c r="I13" s="14" t="str">
        <x:v>S05</x:v>
      </x:c>
      <x:c r="J13" s="14" t="str">
        <x:v>PCode conservé comme valeur de travail; validation officielle requise.</x:v>
      </x:c>
      <x:c r="K13" s="14" t="str">
        <x:v>2026-09-13</x:v>
      </x:c>
    </x:row>
    <x:row r="14">
      <x:c r="A14" s="14" t="n">
        <x:v>11</x:v>
      </x:c>
      <x:c r="B14" s="14" t="n">
        <x:v>3</x:v>
      </x:c>
      <x:c r="C14" s="14" t="str">
        <x:v>Kwango</x:v>
      </x:c>
      <x:c r="D14" s="14" t="str">
        <x:v>Feshi</x:v>
      </x:c>
      <x:c r="E14" s="14" t="str">
        <x:v>COD-P03-T01</x:v>
      </x:c>
      <x:c r="F14" s="14" t="str">
        <x:v>3103</x:v>
      </x:c>
      <x:c r="G14" s="14" t="str">
        <x:v>31</x:v>
      </x:c>
      <x:c r="H14" s="14" t="str">
        <x:v>SOURCE_SECONDAIRE_A_VALIDER</x:v>
      </x:c>
      <x:c r="I14" s="14" t="str">
        <x:v>S05</x:v>
      </x:c>
      <x:c r="J14" s="14" t="str">
        <x:v>PCode conservé comme valeur de travail; validation officielle requise.</x:v>
      </x:c>
      <x:c r="K14" s="14" t="str">
        <x:v>2026-09-13</x:v>
      </x:c>
    </x:row>
    <x:row r="15">
      <x:c r="A15" s="14" t="n">
        <x:v>12</x:v>
      </x:c>
      <x:c r="B15" s="14" t="n">
        <x:v>3</x:v>
      </x:c>
      <x:c r="C15" s="14" t="str">
        <x:v>Kwango</x:v>
      </x:c>
      <x:c r="D15" s="14" t="str">
        <x:v>Kahemba</x:v>
      </x:c>
      <x:c r="E15" s="14" t="str">
        <x:v>COD-P03-T02</x:v>
      </x:c>
      <x:c r="F15" s="14" t="str">
        <x:v>3105</x:v>
      </x:c>
      <x:c r="G15" s="14" t="str">
        <x:v>31</x:v>
      </x:c>
      <x:c r="H15" s="14" t="str">
        <x:v>SOURCE_SECONDAIRE_A_VALIDER</x:v>
      </x:c>
      <x:c r="I15" s="14" t="str">
        <x:v>S05</x:v>
      </x:c>
      <x:c r="J15" s="14" t="str">
        <x:v>PCode conservé comme valeur de travail; validation officielle requise.</x:v>
      </x:c>
      <x:c r="K15" s="14" t="str">
        <x:v>2026-09-13</x:v>
      </x:c>
    </x:row>
    <x:row r="16">
      <x:c r="A16" s="14" t="n">
        <x:v>13</x:v>
      </x:c>
      <x:c r="B16" s="14" t="n">
        <x:v>3</x:v>
      </x:c>
      <x:c r="C16" s="14" t="str">
        <x:v>Kwango</x:v>
      </x:c>
      <x:c r="D16" s="14" t="str">
        <x:v>Kasongo-Lunda</x:v>
      </x:c>
      <x:c r="E16" s="14" t="str">
        <x:v>COD-P03-T03</x:v>
      </x:c>
      <x:c r="F16" s="14" t="str">
        <x:v>3107</x:v>
      </x:c>
      <x:c r="G16" s="14" t="str">
        <x:v>31</x:v>
      </x:c>
      <x:c r="H16" s="14" t="str">
        <x:v>SOURCE_SECONDAIRE_A_VALIDER</x:v>
      </x:c>
      <x:c r="I16" s="14" t="str">
        <x:v>S05</x:v>
      </x:c>
      <x:c r="J16" s="14" t="str">
        <x:v>PCode conservé comme valeur de travail; validation officielle requise.</x:v>
      </x:c>
      <x:c r="K16" s="14" t="str">
        <x:v>2026-09-13</x:v>
      </x:c>
    </x:row>
    <x:row r="17">
      <x:c r="A17" s="14" t="n">
        <x:v>14</x:v>
      </x:c>
      <x:c r="B17" s="14" t="n">
        <x:v>3</x:v>
      </x:c>
      <x:c r="C17" s="14" t="str">
        <x:v>Kwango</x:v>
      </x:c>
      <x:c r="D17" s="14" t="str">
        <x:v>Kenge</x:v>
      </x:c>
      <x:c r="E17" s="14" t="str">
        <x:v>COD-P03-T04</x:v>
      </x:c>
      <x:c r="F17" s="14" t="str">
        <x:v>3102</x:v>
      </x:c>
      <x:c r="G17" s="14" t="str">
        <x:v>31</x:v>
      </x:c>
      <x:c r="H17" s="14" t="str">
        <x:v>SOURCE_SECONDAIRE_A_VALIDER</x:v>
      </x:c>
      <x:c r="I17" s="14" t="str">
        <x:v>S05</x:v>
      </x:c>
      <x:c r="J17" s="14" t="str">
        <x:v>PCode conservé comme valeur de travail; validation officielle requise.</x:v>
      </x:c>
      <x:c r="K17" s="14" t="str">
        <x:v>2026-09-13</x:v>
      </x:c>
    </x:row>
    <x:row r="18">
      <x:c r="A18" s="14" t="n">
        <x:v>15</x:v>
      </x:c>
      <x:c r="B18" s="14" t="n">
        <x:v>3</x:v>
      </x:c>
      <x:c r="C18" s="14" t="str">
        <x:v>Kwango</x:v>
      </x:c>
      <x:c r="D18" s="14" t="str">
        <x:v>Popokabaka</x:v>
      </x:c>
      <x:c r="E18" s="14" t="str">
        <x:v>COD-P03-T05</x:v>
      </x:c>
      <x:c r="F18" s="14" t="str">
        <x:v>3108</x:v>
      </x:c>
      <x:c r="G18" s="14" t="str">
        <x:v>31</x:v>
      </x:c>
      <x:c r="H18" s="14" t="str">
        <x:v>SOURCE_SECONDAIRE_A_VALIDER</x:v>
      </x:c>
      <x:c r="I18" s="14" t="str">
        <x:v>S05</x:v>
      </x:c>
      <x:c r="J18" s="14" t="str">
        <x:v>PCode conservé comme valeur de travail; validation officielle requise.</x:v>
      </x:c>
      <x:c r="K18" s="14" t="str">
        <x:v>2026-09-13</x:v>
      </x:c>
    </x:row>
    <x:row r="19">
      <x:c r="A19" s="14" t="n">
        <x:v>16</x:v>
      </x:c>
      <x:c r="B19" s="14" t="n">
        <x:v>4</x:v>
      </x:c>
      <x:c r="C19" s="14" t="str">
        <x:v>Kwilu</x:v>
      </x:c>
      <x:c r="D19" s="14" t="str">
        <x:v>Bagata</x:v>
      </x:c>
      <x:c r="E19" s="14" t="str">
        <x:v>COD-P04-T01</x:v>
      </x:c>
      <x:c r="F19" s="14" t="str">
        <x:v>3202</x:v>
      </x:c>
      <x:c r="G19" s="14" t="str">
        <x:v>32</x:v>
      </x:c>
      <x:c r="H19" s="14" t="str">
        <x:v>SOURCE_SECONDAIRE_A_VALIDER</x:v>
      </x:c>
      <x:c r="I19" s="14" t="str">
        <x:v>S05</x:v>
      </x:c>
      <x:c r="J19" s="14" t="str">
        <x:v>PCode conservé comme valeur de travail; validation officielle requise.</x:v>
      </x:c>
      <x:c r="K19" s="14" t="str">
        <x:v>2026-09-13</x:v>
      </x:c>
    </x:row>
    <x:row r="20">
      <x:c r="A20" s="14" t="n">
        <x:v>17</x:v>
      </x:c>
      <x:c r="B20" s="14" t="n">
        <x:v>4</x:v>
      </x:c>
      <x:c r="C20" s="14" t="str">
        <x:v>Kwilu</x:v>
      </x:c>
      <x:c r="D20" s="14" t="str">
        <x:v>Bulungu</x:v>
      </x:c>
      <x:c r="E20" s="14" t="str">
        <x:v>COD-P04-T02</x:v>
      </x:c>
      <x:c r="F20" s="14" t="str">
        <x:v>3205</x:v>
      </x:c>
      <x:c r="G20" s="14" t="str">
        <x:v>32</x:v>
      </x:c>
      <x:c r="H20" s="14" t="str">
        <x:v>SOURCE_SECONDAIRE_A_VALIDER</x:v>
      </x:c>
      <x:c r="I20" s="14" t="str">
        <x:v>S05</x:v>
      </x:c>
      <x:c r="J20" s="14" t="str">
        <x:v>PCode conservé comme valeur de travail; validation officielle requise.</x:v>
      </x:c>
      <x:c r="K20" s="14" t="str">
        <x:v>2026-09-13</x:v>
      </x:c>
    </x:row>
    <x:row r="21">
      <x:c r="A21" s="14" t="n">
        <x:v>18</x:v>
      </x:c>
      <x:c r="B21" s="14" t="n">
        <x:v>4</x:v>
      </x:c>
      <x:c r="C21" s="14" t="str">
        <x:v>Kwilu</x:v>
      </x:c>
      <x:c r="D21" s="14" t="str">
        <x:v>Gungu</x:v>
      </x:c>
      <x:c r="E21" s="14" t="str">
        <x:v>COD-P04-T03</x:v>
      </x:c>
      <x:c r="F21" s="14" t="str">
        <x:v>3211</x:v>
      </x:c>
      <x:c r="G21" s="14" t="str">
        <x:v>32</x:v>
      </x:c>
      <x:c r="H21" s="14" t="str">
        <x:v>SOURCE_SECONDAIRE_A_VALIDER</x:v>
      </x:c>
      <x:c r="I21" s="14" t="str">
        <x:v>S05</x:v>
      </x:c>
      <x:c r="J21" s="14" t="str">
        <x:v>PCode conservé comme valeur de travail; validation officielle requise.</x:v>
      </x:c>
      <x:c r="K21" s="14" t="str">
        <x:v>2026-09-13</x:v>
      </x:c>
    </x:row>
    <x:row r="22">
      <x:c r="A22" s="14" t="n">
        <x:v>19</x:v>
      </x:c>
      <x:c r="B22" s="14" t="n">
        <x:v>4</x:v>
      </x:c>
      <x:c r="C22" s="14" t="str">
        <x:v>Kwilu</x:v>
      </x:c>
      <x:c r="D22" s="14" t="str">
        <x:v>Idiofa</x:v>
      </x:c>
      <x:c r="E22" s="14" t="str">
        <x:v>COD-P04-T04</x:v>
      </x:c>
      <x:c r="F22" s="14" t="str">
        <x:v>3207</x:v>
      </x:c>
      <x:c r="G22" s="14" t="str">
        <x:v>32</x:v>
      </x:c>
      <x:c r="H22" s="14" t="str">
        <x:v>SOURCE_SECONDAIRE_A_VALIDER</x:v>
      </x:c>
      <x:c r="I22" s="14" t="str">
        <x:v>S05</x:v>
      </x:c>
      <x:c r="J22" s="14" t="str">
        <x:v>PCode conservé comme valeur de travail; validation officielle requise.</x:v>
      </x:c>
      <x:c r="K22" s="14" t="str">
        <x:v>2026-09-13</x:v>
      </x:c>
    </x:row>
    <x:row r="23">
      <x:c r="A23" s="14" t="n">
        <x:v>20</x:v>
      </x:c>
      <x:c r="B23" s="14" t="n">
        <x:v>4</x:v>
      </x:c>
      <x:c r="C23" s="14" t="str">
        <x:v>Kwilu</x:v>
      </x:c>
      <x:c r="D23" s="14" t="str">
        <x:v>Masi-Manimba</x:v>
      </x:c>
      <x:c r="E23" s="14" t="str">
        <x:v>COD-P04-T05</x:v>
      </x:c>
      <x:c r="F23" s="14" t="str">
        <x:v>3213</x:v>
      </x:c>
      <x:c r="G23" s="14" t="str">
        <x:v>32</x:v>
      </x:c>
      <x:c r="H23" s="14" t="str">
        <x:v>SOURCE_SECONDAIRE_A_VALIDER</x:v>
      </x:c>
      <x:c r="I23" s="14" t="str">
        <x:v>S05</x:v>
      </x:c>
      <x:c r="J23" s="14" t="str">
        <x:v>PCode conservé comme valeur de travail; validation officielle requise.</x:v>
      </x:c>
      <x:c r="K23" s="14" t="str">
        <x:v>2026-09-13</x:v>
      </x:c>
    </x:row>
    <x:row r="24">
      <x:c r="A24" s="14" t="n">
        <x:v>21</x:v>
      </x:c>
      <x:c r="B24" s="14" t="n">
        <x:v>5</x:v>
      </x:c>
      <x:c r="C24" s="14" t="str">
        <x:v>Mai-Ndombe</x:v>
      </x:c>
      <x:c r="D24" s="14" t="str">
        <x:v>Bolobo</x:v>
      </x:c>
      <x:c r="E24" s="14" t="str">
        <x:v>COD-P05-T01</x:v>
      </x:c>
      <x:c r="F24" s="14" t="str">
        <x:v>3309</x:v>
      </x:c>
      <x:c r="G24" s="14" t="str">
        <x:v>33</x:v>
      </x:c>
      <x:c r="H24" s="14" t="str">
        <x:v>SOURCE_SECONDAIRE_A_VALIDER</x:v>
      </x:c>
      <x:c r="I24" s="14" t="str">
        <x:v>S05</x:v>
      </x:c>
      <x:c r="J24" s="14" t="str">
        <x:v>PCode conservé comme valeur de travail; validation officielle requise.</x:v>
      </x:c>
      <x:c r="K24" s="14" t="str">
        <x:v>2026-09-13</x:v>
      </x:c>
    </x:row>
    <x:row r="25">
      <x:c r="A25" s="14" t="n">
        <x:v>22</x:v>
      </x:c>
      <x:c r="B25" s="14" t="n">
        <x:v>5</x:v>
      </x:c>
      <x:c r="C25" s="14" t="str">
        <x:v>Mai-Ndombe</x:v>
      </x:c>
      <x:c r="D25" s="14" t="str">
        <x:v>Inongo</x:v>
      </x:c>
      <x:c r="E25" s="14" t="str">
        <x:v>COD-P05-T02</x:v>
      </x:c>
      <x:c r="F25" s="14" t="str">
        <x:v>3302</x:v>
      </x:c>
      <x:c r="G25" s="14" t="str">
        <x:v>33</x:v>
      </x:c>
      <x:c r="H25" s="14" t="str">
        <x:v>SOURCE_SECONDAIRE_A_VALIDER</x:v>
      </x:c>
      <x:c r="I25" s="14" t="str">
        <x:v>S05</x:v>
      </x:c>
      <x:c r="J25" s="14" t="str">
        <x:v>PCode conservé comme valeur de travail; validation officielle requise.</x:v>
      </x:c>
      <x:c r="K25" s="14" t="str">
        <x:v>2026-09-13</x:v>
      </x:c>
    </x:row>
    <x:row r="26">
      <x:c r="A26" s="14" t="n">
        <x:v>23</x:v>
      </x:c>
      <x:c r="B26" s="14" t="n">
        <x:v>5</x:v>
      </x:c>
      <x:c r="C26" s="14" t="str">
        <x:v>Mai-Ndombe</x:v>
      </x:c>
      <x:c r="D26" s="14" t="str">
        <x:v>Kiri</x:v>
      </x:c>
      <x:c r="E26" s="14" t="str">
        <x:v>COD-P05-T03</x:v>
      </x:c>
      <x:c r="F26" s="14" t="str">
        <x:v>3303</x:v>
      </x:c>
      <x:c r="G26" s="14" t="str">
        <x:v>33</x:v>
      </x:c>
      <x:c r="H26" s="14" t="str">
        <x:v>SOURCE_SECONDAIRE_A_VALIDER</x:v>
      </x:c>
      <x:c r="I26" s="14" t="str">
        <x:v>S05</x:v>
      </x:c>
      <x:c r="J26" s="14" t="str">
        <x:v>PCode conservé comme valeur de travail; validation officielle requise.</x:v>
      </x:c>
      <x:c r="K26" s="14" t="str">
        <x:v>2026-09-13</x:v>
      </x:c>
    </x:row>
    <x:row r="27">
      <x:c r="A27" s="14" t="n">
        <x:v>24</x:v>
      </x:c>
      <x:c r="B27" s="14" t="n">
        <x:v>5</x:v>
      </x:c>
      <x:c r="C27" s="14" t="str">
        <x:v>Mai-Ndombe</x:v>
      </x:c>
      <x:c r="D27" s="14" t="str">
        <x:v>Kutu</x:v>
      </x:c>
      <x:c r="E27" s="14" t="str">
        <x:v>COD-P05-T04</x:v>
      </x:c>
      <x:c r="F27" s="14" t="str">
        <x:v>3306</x:v>
      </x:c>
      <x:c r="G27" s="14" t="str">
        <x:v>33</x:v>
      </x:c>
      <x:c r="H27" s="14" t="str">
        <x:v>SOURCE_SECONDAIRE_A_VALIDER</x:v>
      </x:c>
      <x:c r="I27" s="14" t="str">
        <x:v>S05</x:v>
      </x:c>
      <x:c r="J27" s="14" t="str">
        <x:v>PCode conservé comme valeur de travail; validation officielle requise.</x:v>
      </x:c>
      <x:c r="K27" s="14" t="str">
        <x:v>2026-09-13</x:v>
      </x:c>
    </x:row>
    <x:row r="28">
      <x:c r="A28" s="14" t="n">
        <x:v>25</x:v>
      </x:c>
      <x:c r="B28" s="14" t="n">
        <x:v>5</x:v>
      </x:c>
      <x:c r="C28" s="14" t="str">
        <x:v>Mai-Ndombe</x:v>
      </x:c>
      <x:c r="D28" s="14" t="str">
        <x:v>Kwamouth</x:v>
      </x:c>
      <x:c r="E28" s="14" t="str">
        <x:v>COD-P05-T05</x:v>
      </x:c>
      <x:c r="F28" s="14" t="str">
        <x:v>3307</x:v>
      </x:c>
      <x:c r="G28" s="14" t="str">
        <x:v>33</x:v>
      </x:c>
      <x:c r="H28" s="14" t="str">
        <x:v>SOURCE_SECONDAIRE_A_VALIDER</x:v>
      </x:c>
      <x:c r="I28" s="14" t="str">
        <x:v>S05</x:v>
      </x:c>
      <x:c r="J28" s="14" t="str">
        <x:v>PCode conservé comme valeur de travail; validation officielle requise.</x:v>
      </x:c>
      <x:c r="K28" s="14" t="str">
        <x:v>2026-09-13</x:v>
      </x:c>
    </x:row>
    <x:row r="29">
      <x:c r="A29" s="14" t="n">
        <x:v>26</x:v>
      </x:c>
      <x:c r="B29" s="14" t="n">
        <x:v>5</x:v>
      </x:c>
      <x:c r="C29" s="14" t="str">
        <x:v>Mai-Ndombe</x:v>
      </x:c>
      <x:c r="D29" s="14" t="str">
        <x:v>Mushie</x:v>
      </x:c>
      <x:c r="E29" s="14" t="str">
        <x:v>COD-P05-T06</x:v>
      </x:c>
      <x:c r="F29" s="14" t="str">
        <x:v>3311</x:v>
      </x:c>
      <x:c r="G29" s="14" t="str">
        <x:v>33</x:v>
      </x:c>
      <x:c r="H29" s="14" t="str">
        <x:v>SOURCE_SECONDAIRE_A_VALIDER</x:v>
      </x:c>
      <x:c r="I29" s="14" t="str">
        <x:v>S05</x:v>
      </x:c>
      <x:c r="J29" s="14" t="str">
        <x:v>PCode conservé comme valeur de travail; validation officielle requise.</x:v>
      </x:c>
      <x:c r="K29" s="14" t="str">
        <x:v>2026-09-13</x:v>
      </x:c>
    </x:row>
    <x:row r="30">
      <x:c r="A30" s="14" t="n">
        <x:v>27</x:v>
      </x:c>
      <x:c r="B30" s="14" t="n">
        <x:v>5</x:v>
      </x:c>
      <x:c r="C30" s="14" t="str">
        <x:v>Mai-Ndombe</x:v>
      </x:c>
      <x:c r="D30" s="14" t="str">
        <x:v>Oshwe</x:v>
      </x:c>
      <x:c r="E30" s="14" t="str">
        <x:v>COD-P05-T07</x:v>
      </x:c>
      <x:c r="F30" s="14" t="str">
        <x:v>3304</x:v>
      </x:c>
      <x:c r="G30" s="14" t="str">
        <x:v>33</x:v>
      </x:c>
      <x:c r="H30" s="14" t="str">
        <x:v>SOURCE_SECONDAIRE_A_VALIDER</x:v>
      </x:c>
      <x:c r="I30" s="14" t="str">
        <x:v>S05</x:v>
      </x:c>
      <x:c r="J30" s="14" t="str">
        <x:v>PCode conservé comme valeur de travail; validation officielle requise.</x:v>
      </x:c>
      <x:c r="K30" s="14" t="str">
        <x:v>2026-09-13</x:v>
      </x:c>
    </x:row>
    <x:row r="31">
      <x:c r="A31" s="14" t="n">
        <x:v>28</x:v>
      </x:c>
      <x:c r="B31" s="14" t="n">
        <x:v>5</x:v>
      </x:c>
      <x:c r="C31" s="14" t="str">
        <x:v>Mai-Ndombe</x:v>
      </x:c>
      <x:c r="D31" s="14" t="str">
        <x:v>Yumbi</x:v>
      </x:c>
      <x:c r="E31" s="14" t="str">
        <x:v>COD-P05-T08</x:v>
      </x:c>
      <x:c r="F31" s="14" t="str">
        <x:v>3310</x:v>
      </x:c>
      <x:c r="G31" s="14" t="str">
        <x:v>33</x:v>
      </x:c>
      <x:c r="H31" s="14" t="str">
        <x:v>SOURCE_SECONDAIRE_A_VALIDER</x:v>
      </x:c>
      <x:c r="I31" s="14" t="str">
        <x:v>S05</x:v>
      </x:c>
      <x:c r="J31" s="14" t="str">
        <x:v>PCode conservé comme valeur de travail; validation officielle requise.</x:v>
      </x:c>
      <x:c r="K31" s="14" t="str">
        <x:v>2026-09-13</x:v>
      </x:c>
    </x:row>
    <x:row r="32">
      <x:c r="A32" s="14" t="n">
        <x:v>29</x:v>
      </x:c>
      <x:c r="B32" s="14" t="n">
        <x:v>6</x:v>
      </x:c>
      <x:c r="C32" s="14" t="str">
        <x:v>Équateur</x:v>
      </x:c>
      <x:c r="D32" s="14" t="str">
        <x:v>Basankusu</x:v>
      </x:c>
      <x:c r="E32" s="14" t="str">
        <x:v>COD-P06-T01</x:v>
      </x:c>
      <x:c r="F32" s="14" t="str">
        <x:v>4107</x:v>
      </x:c>
      <x:c r="G32" s="14" t="str">
        <x:v>41</x:v>
      </x:c>
      <x:c r="H32" s="14" t="str">
        <x:v>SOURCE_SECONDAIRE_A_VALIDER</x:v>
      </x:c>
      <x:c r="I32" s="14" t="str">
        <x:v>S05</x:v>
      </x:c>
      <x:c r="J32" s="14" t="str">
        <x:v>PCode conservé comme valeur de travail; validation officielle requise.</x:v>
      </x:c>
      <x:c r="K32" s="14" t="str">
        <x:v>2026-09-13</x:v>
      </x:c>
    </x:row>
    <x:row r="33">
      <x:c r="A33" s="14" t="n">
        <x:v>30</x:v>
      </x:c>
      <x:c r="B33" s="14" t="n">
        <x:v>6</x:v>
      </x:c>
      <x:c r="C33" s="14" t="str">
        <x:v>Équateur</x:v>
      </x:c>
      <x:c r="D33" s="14" t="str">
        <x:v>Bikoro</x:v>
      </x:c>
      <x:c r="E33" s="14" t="str">
        <x:v>COD-P06-T02</x:v>
      </x:c>
      <x:c r="F33" s="14" t="str">
        <x:v>4102</x:v>
      </x:c>
      <x:c r="G33" s="14" t="str">
        <x:v>41</x:v>
      </x:c>
      <x:c r="H33" s="14" t="str">
        <x:v>SOURCE_SECONDAIRE_A_VALIDER</x:v>
      </x:c>
      <x:c r="I33" s="14" t="str">
        <x:v>S05</x:v>
      </x:c>
      <x:c r="J33" s="14" t="str">
        <x:v>PCode conservé comme valeur de travail; validation officielle requise.</x:v>
      </x:c>
      <x:c r="K33" s="14" t="str">
        <x:v>2026-09-13</x:v>
      </x:c>
    </x:row>
    <x:row r="34">
      <x:c r="A34" s="14" t="n">
        <x:v>31</x:v>
      </x:c>
      <x:c r="B34" s="14" t="n">
        <x:v>6</x:v>
      </x:c>
      <x:c r="C34" s="14" t="str">
        <x:v>Équateur</x:v>
      </x:c>
      <x:c r="D34" s="14" t="str">
        <x:v>Bolomba</x:v>
      </x:c>
      <x:c r="E34" s="14" t="str">
        <x:v>COD-P06-T03</x:v>
      </x:c>
      <x:c r="F34" s="14" t="str">
        <x:v>4108</x:v>
      </x:c>
      <x:c r="G34" s="14" t="str">
        <x:v>41</x:v>
      </x:c>
      <x:c r="H34" s="14" t="str">
        <x:v>SOURCE_SECONDAIRE_A_VALIDER</x:v>
      </x:c>
      <x:c r="I34" s="14" t="str">
        <x:v>S05</x:v>
      </x:c>
      <x:c r="J34" s="14" t="str">
        <x:v>PCode conservé comme valeur de travail; validation officielle requise.</x:v>
      </x:c>
      <x:c r="K34" s="14" t="str">
        <x:v>2026-09-13</x:v>
      </x:c>
    </x:row>
    <x:row r="35">
      <x:c r="A35" s="14" t="n">
        <x:v>32</x:v>
      </x:c>
      <x:c r="B35" s="14" t="n">
        <x:v>6</x:v>
      </x:c>
      <x:c r="C35" s="14" t="str">
        <x:v>Équateur</x:v>
      </x:c>
      <x:c r="D35" s="14" t="str">
        <x:v>Bomongo</x:v>
      </x:c>
      <x:c r="E35" s="14" t="str">
        <x:v>COD-P06-T04</x:v>
      </x:c>
      <x:c r="F35" s="14" t="str">
        <x:v>4104</x:v>
      </x:c>
      <x:c r="G35" s="14" t="str">
        <x:v>41</x:v>
      </x:c>
      <x:c r="H35" s="14" t="str">
        <x:v>SOURCE_SECONDAIRE_A_VALIDER</x:v>
      </x:c>
      <x:c r="I35" s="14" t="str">
        <x:v>S05</x:v>
      </x:c>
      <x:c r="J35" s="14" t="str">
        <x:v>PCode conservé comme valeur de travail; validation officielle requise.</x:v>
      </x:c>
      <x:c r="K35" s="14" t="str">
        <x:v>2026-09-13</x:v>
      </x:c>
    </x:row>
    <x:row r="36">
      <x:c r="A36" s="14" t="n">
        <x:v>33</x:v>
      </x:c>
      <x:c r="B36" s="14" t="n">
        <x:v>6</x:v>
      </x:c>
      <x:c r="C36" s="14" t="str">
        <x:v>Équateur</x:v>
      </x:c>
      <x:c r="D36" s="14" t="str">
        <x:v>Ingende</x:v>
      </x:c>
      <x:c r="E36" s="14" t="str">
        <x:v>COD-P06-T05</x:v>
      </x:c>
      <x:c r="F36" s="14" t="str">
        <x:v>4109</x:v>
      </x:c>
      <x:c r="G36" s="14" t="str">
        <x:v>41</x:v>
      </x:c>
      <x:c r="H36" s="14" t="str">
        <x:v>SOURCE_SECONDAIRE_A_VALIDER</x:v>
      </x:c>
      <x:c r="I36" s="14" t="str">
        <x:v>S05</x:v>
      </x:c>
      <x:c r="J36" s="14" t="str">
        <x:v>PCode conservé comme valeur de travail; validation officielle requise.</x:v>
      </x:c>
      <x:c r="K36" s="14" t="str">
        <x:v>2026-09-13</x:v>
      </x:c>
    </x:row>
    <x:row r="37">
      <x:c r="A37" s="14" t="n">
        <x:v>34</x:v>
      </x:c>
      <x:c r="B37" s="14" t="n">
        <x:v>6</x:v>
      </x:c>
      <x:c r="C37" s="14" t="str">
        <x:v>Équateur</x:v>
      </x:c>
      <x:c r="D37" s="14" t="str">
        <x:v>Lukolela</x:v>
      </x:c>
      <x:c r="E37" s="14" t="str">
        <x:v>COD-P06-T06</x:v>
      </x:c>
      <x:c r="F37" s="14" t="str">
        <x:v>4103</x:v>
      </x:c>
      <x:c r="G37" s="14" t="str">
        <x:v>41</x:v>
      </x:c>
      <x:c r="H37" s="14" t="str">
        <x:v>SOURCE_SECONDAIRE_A_VALIDER</x:v>
      </x:c>
      <x:c r="I37" s="14" t="str">
        <x:v>S05</x:v>
      </x:c>
      <x:c r="J37" s="14" t="str">
        <x:v>PCode conservé comme valeur de travail; validation officielle requise.</x:v>
      </x:c>
      <x:c r="K37" s="14" t="str">
        <x:v>2026-09-13</x:v>
      </x:c>
    </x:row>
    <x:row r="38">
      <x:c r="A38" s="14" t="n">
        <x:v>35</x:v>
      </x:c>
      <x:c r="B38" s="14" t="n">
        <x:v>6</x:v>
      </x:c>
      <x:c r="C38" s="14" t="str">
        <x:v>Équateur</x:v>
      </x:c>
      <x:c r="D38" s="14" t="str">
        <x:v>Mankanza</x:v>
      </x:c>
      <x:c r="E38" s="14" t="str">
        <x:v>COD-P06-T07</x:v>
      </x:c>
      <x:c r="F38" s="14" t="str">
        <x:v>4105</x:v>
      </x:c>
      <x:c r="G38" s="14" t="str">
        <x:v>41</x:v>
      </x:c>
      <x:c r="H38" s="14" t="str">
        <x:v>SOURCE_SECONDAIRE_A_VALIDER</x:v>
      </x:c>
      <x:c r="I38" s="14" t="str">
        <x:v>S05</x:v>
      </x:c>
      <x:c r="J38" s="14" t="str">
        <x:v>PCode conservé comme valeur de travail; validation officielle requise.</x:v>
      </x:c>
      <x:c r="K38" s="14" t="str">
        <x:v>2026-09-13</x:v>
      </x:c>
    </x:row>
    <x:row r="39">
      <x:c r="A39" s="14" t="n">
        <x:v>36</x:v>
      </x:c>
      <x:c r="B39" s="14" t="n">
        <x:v>7</x:v>
      </x:c>
      <x:c r="C39" s="14" t="str">
        <x:v>Sud-Ubangi</x:v>
      </x:c>
      <x:c r="D39" s="14" t="str">
        <x:v>Budjala</x:v>
      </x:c>
      <x:c r="E39" s="14" t="str">
        <x:v>COD-P07-T01</x:v>
      </x:c>
      <x:c r="F39" s="14" t="str">
        <x:v>4203</x:v>
      </x:c>
      <x:c r="G39" s="14" t="str">
        <x:v>42</x:v>
      </x:c>
      <x:c r="H39" s="14" t="str">
        <x:v>SOURCE_SECONDAIRE_A_VALIDER</x:v>
      </x:c>
      <x:c r="I39" s="14" t="str">
        <x:v>S05</x:v>
      </x:c>
      <x:c r="J39" s="14" t="str">
        <x:v>PCode conservé comme valeur de travail; validation officielle requise.</x:v>
      </x:c>
      <x:c r="K39" s="14" t="str">
        <x:v>2026-09-13</x:v>
      </x:c>
    </x:row>
    <x:row r="40">
      <x:c r="A40" s="14" t="n">
        <x:v>37</x:v>
      </x:c>
      <x:c r="B40" s="14" t="n">
        <x:v>7</x:v>
      </x:c>
      <x:c r="C40" s="14" t="str">
        <x:v>Sud-Ubangi</x:v>
      </x:c>
      <x:c r="D40" s="14" t="str">
        <x:v>Gemena</x:v>
      </x:c>
      <x:c r="E40" s="14" t="str">
        <x:v>COD-P07-T02</x:v>
      </x:c>
      <x:c r="F40" s="14" t="str">
        <x:v>4202</x:v>
      </x:c>
      <x:c r="G40" s="14" t="str">
        <x:v>42</x:v>
      </x:c>
      <x:c r="H40" s="14" t="str">
        <x:v>SOURCE_SECONDAIRE_A_VALIDER</x:v>
      </x:c>
      <x:c r="I40" s="14" t="str">
        <x:v>S05</x:v>
      </x:c>
      <x:c r="J40" s="14" t="str">
        <x:v>PCode conservé comme valeur de travail; validation officielle requise.</x:v>
      </x:c>
      <x:c r="K40" s="14" t="str">
        <x:v>2026-09-13</x:v>
      </x:c>
    </x:row>
    <x:row r="41">
      <x:c r="A41" s="14" t="n">
        <x:v>38</x:v>
      </x:c>
      <x:c r="B41" s="14" t="n">
        <x:v>7</x:v>
      </x:c>
      <x:c r="C41" s="14" t="str">
        <x:v>Sud-Ubangi</x:v>
      </x:c>
      <x:c r="D41" s="14" t="str">
        <x:v>Kungu</x:v>
      </x:c>
      <x:c r="E41" s="14" t="str">
        <x:v>COD-P07-T03</x:v>
      </x:c>
      <x:c r="F41" s="14" t="str">
        <x:v>4204</x:v>
      </x:c>
      <x:c r="G41" s="14" t="str">
        <x:v>42</x:v>
      </x:c>
      <x:c r="H41" s="14" t="str">
        <x:v>SOURCE_SECONDAIRE_A_VALIDER</x:v>
      </x:c>
      <x:c r="I41" s="14" t="str">
        <x:v>S05</x:v>
      </x:c>
      <x:c r="J41" s="14" t="str">
        <x:v>PCode conservé comme valeur de travail; validation officielle requise.</x:v>
      </x:c>
      <x:c r="K41" s="14" t="str">
        <x:v>2026-09-13</x:v>
      </x:c>
    </x:row>
    <x:row r="42">
      <x:c r="A42" s="14" t="n">
        <x:v>39</x:v>
      </x:c>
      <x:c r="B42" s="14" t="n">
        <x:v>7</x:v>
      </x:c>
      <x:c r="C42" s="14" t="str">
        <x:v>Sud-Ubangi</x:v>
      </x:c>
      <x:c r="D42" s="14" t="str">
        <x:v>Libenge</x:v>
      </x:c>
      <x:c r="E42" s="14" t="str">
        <x:v>COD-P07-T04</x:v>
      </x:c>
      <x:c r="F42" s="14" t="str">
        <x:v>4205</x:v>
      </x:c>
      <x:c r="G42" s="14" t="str">
        <x:v>42</x:v>
      </x:c>
      <x:c r="H42" s="14" t="str">
        <x:v>SOURCE_SECONDAIRE_A_VALIDER</x:v>
      </x:c>
      <x:c r="I42" s="14" t="str">
        <x:v>S05</x:v>
      </x:c>
      <x:c r="J42" s="14" t="str">
        <x:v>PCode conservé comme valeur de travail; validation officielle requise.</x:v>
      </x:c>
      <x:c r="K42" s="14" t="str">
        <x:v>2026-09-13</x:v>
      </x:c>
    </x:row>
    <x:row r="43">
      <x:c r="A43" s="14" t="n">
        <x:v>40</x:v>
      </x:c>
      <x:c r="B43" s="14" t="n">
        <x:v>8</x:v>
      </x:c>
      <x:c r="C43" s="14" t="str">
        <x:v>Nord-Ubangi</x:v>
      </x:c>
      <x:c r="D43" s="14" t="str">
        <x:v>Bosobolo</x:v>
      </x:c>
      <x:c r="E43" s="14" t="str">
        <x:v>COD-P08-T01</x:v>
      </x:c>
      <x:c r="F43" s="14" t="str">
        <x:v>4306</x:v>
      </x:c>
      <x:c r="G43" s="14" t="str">
        <x:v>43</x:v>
      </x:c>
      <x:c r="H43" s="14" t="str">
        <x:v>SOURCE_SECONDAIRE_A_VALIDER</x:v>
      </x:c>
      <x:c r="I43" s="14" t="str">
        <x:v>S05</x:v>
      </x:c>
      <x:c r="J43" s="14" t="str">
        <x:v>PCode conservé comme valeur de travail; validation officielle requise.</x:v>
      </x:c>
      <x:c r="K43" s="14" t="str">
        <x:v>2026-09-13</x:v>
      </x:c>
    </x:row>
    <x:row r="44">
      <x:c r="A44" s="14" t="n">
        <x:v>41</x:v>
      </x:c>
      <x:c r="B44" s="14" t="n">
        <x:v>8</x:v>
      </x:c>
      <x:c r="C44" s="14" t="str">
        <x:v>Nord-Ubangi</x:v>
      </x:c>
      <x:c r="D44" s="14" t="str">
        <x:v>Businga</x:v>
      </x:c>
      <x:c r="E44" s="14" t="str">
        <x:v>COD-P08-T02</x:v>
      </x:c>
      <x:c r="F44" s="14" t="str">
        <x:v>4305</x:v>
      </x:c>
      <x:c r="G44" s="14" t="str">
        <x:v>43</x:v>
      </x:c>
      <x:c r="H44" s="14" t="str">
        <x:v>SOURCE_SECONDAIRE_A_VALIDER</x:v>
      </x:c>
      <x:c r="I44" s="14" t="str">
        <x:v>S05</x:v>
      </x:c>
      <x:c r="J44" s="14" t="str">
        <x:v>PCode conservé comme valeur de travail; validation officielle requise.</x:v>
      </x:c>
      <x:c r="K44" s="14" t="str">
        <x:v>2026-09-13</x:v>
      </x:c>
    </x:row>
    <x:row r="45">
      <x:c r="A45" s="14" t="n">
        <x:v>42</x:v>
      </x:c>
      <x:c r="B45" s="14" t="n">
        <x:v>8</x:v>
      </x:c>
      <x:c r="C45" s="14" t="str">
        <x:v>Nord-Ubangi</x:v>
      </x:c>
      <x:c r="D45" s="14" t="str">
        <x:v>Mobayi-Mbongo</x:v>
      </x:c>
      <x:c r="E45" s="14" t="str">
        <x:v>COD-P08-T03</x:v>
      </x:c>
      <x:c r="F45" s="14" t="str">
        <x:v>4303</x:v>
      </x:c>
      <x:c r="G45" s="14" t="str">
        <x:v>43</x:v>
      </x:c>
      <x:c r="H45" s="14" t="str">
        <x:v>SOURCE_SECONDAIRE_A_VALIDER</x:v>
      </x:c>
      <x:c r="I45" s="14" t="str">
        <x:v>S05</x:v>
      </x:c>
      <x:c r="J45" s="14" t="str">
        <x:v>PCode conservé comme valeur de travail; validation officielle requise.</x:v>
      </x:c>
      <x:c r="K45" s="14" t="str">
        <x:v>2026-09-13</x:v>
      </x:c>
    </x:row>
    <x:row r="46">
      <x:c r="A46" s="14" t="n">
        <x:v>43</x:v>
      </x:c>
      <x:c r="B46" s="14" t="n">
        <x:v>8</x:v>
      </x:c>
      <x:c r="C46" s="14" t="str">
        <x:v>Nord-Ubangi</x:v>
      </x:c>
      <x:c r="D46" s="14" t="str">
        <x:v>Yakoma</x:v>
      </x:c>
      <x:c r="E46" s="14" t="str">
        <x:v>COD-P08-T04</x:v>
      </x:c>
      <x:c r="F46" s="14" t="str">
        <x:v>4304</x:v>
      </x:c>
      <x:c r="G46" s="14" t="str">
        <x:v>43</x:v>
      </x:c>
      <x:c r="H46" s="14" t="str">
        <x:v>SOURCE_SECONDAIRE_A_VALIDER</x:v>
      </x:c>
      <x:c r="I46" s="14" t="str">
        <x:v>S05</x:v>
      </x:c>
      <x:c r="J46" s="14" t="str">
        <x:v>PCode conservé comme valeur de travail; validation officielle requise.</x:v>
      </x:c>
      <x:c r="K46" s="14" t="str">
        <x:v>2026-09-13</x:v>
      </x:c>
    </x:row>
    <x:row r="47">
      <x:c r="A47" s="14" t="n">
        <x:v>44</x:v>
      </x:c>
      <x:c r="B47" s="14" t="n">
        <x:v>9</x:v>
      </x:c>
      <x:c r="C47" s="14" t="str">
        <x:v>Mongala</x:v>
      </x:c>
      <x:c r="D47" s="14" t="str">
        <x:v>Bongandanga</x:v>
      </x:c>
      <x:c r="E47" s="14" t="str">
        <x:v>COD-P09-T01</x:v>
      </x:c>
      <x:c r="F47" s="14" t="str">
        <x:v>4405</x:v>
      </x:c>
      <x:c r="G47" s="14" t="str">
        <x:v>44</x:v>
      </x:c>
      <x:c r="H47" s="14" t="str">
        <x:v>SOURCE_SECONDAIRE_A_VALIDER</x:v>
      </x:c>
      <x:c r="I47" s="14" t="str">
        <x:v>S05</x:v>
      </x:c>
      <x:c r="J47" s="14" t="str">
        <x:v>PCode conservé comme valeur de travail; validation officielle requise.</x:v>
      </x:c>
      <x:c r="K47" s="14" t="str">
        <x:v>2026-09-13</x:v>
      </x:c>
    </x:row>
    <x:row r="48">
      <x:c r="A48" s="14" t="n">
        <x:v>45</x:v>
      </x:c>
      <x:c r="B48" s="14" t="n">
        <x:v>9</x:v>
      </x:c>
      <x:c r="C48" s="14" t="str">
        <x:v>Mongala</x:v>
      </x:c>
      <x:c r="D48" s="14" t="str">
        <x:v>Bumba</x:v>
      </x:c>
      <x:c r="E48" s="14" t="str">
        <x:v>COD-P09-T02</x:v>
      </x:c>
      <x:c r="F48" s="14" t="str">
        <x:v>4404</x:v>
      </x:c>
      <x:c r="G48" s="14" t="str">
        <x:v>44</x:v>
      </x:c>
      <x:c r="H48" s="14" t="str">
        <x:v>SOURCE_SECONDAIRE_A_VALIDER</x:v>
      </x:c>
      <x:c r="I48" s="14" t="str">
        <x:v>S05</x:v>
      </x:c>
      <x:c r="J48" s="14" t="str">
        <x:v>PCode conservé comme valeur de travail; validation officielle requise.</x:v>
      </x:c>
      <x:c r="K48" s="14" t="str">
        <x:v>2026-09-13</x:v>
      </x:c>
    </x:row>
    <x:row r="49">
      <x:c r="A49" s="14" t="n">
        <x:v>46</x:v>
      </x:c>
      <x:c r="B49" s="14" t="n">
        <x:v>9</x:v>
      </x:c>
      <x:c r="C49" s="14" t="str">
        <x:v>Mongala</x:v>
      </x:c>
      <x:c r="D49" s="14" t="str">
        <x:v>Lisala</x:v>
      </x:c>
      <x:c r="E49" s="14" t="str">
        <x:v>COD-P09-T03</x:v>
      </x:c>
      <x:c r="F49" s="14" t="str">
        <x:v>4402</x:v>
      </x:c>
      <x:c r="G49" s="14" t="str">
        <x:v>44</x:v>
      </x:c>
      <x:c r="H49" s="14" t="str">
        <x:v>SOURCE_SECONDAIRE_A_VALIDER</x:v>
      </x:c>
      <x:c r="I49" s="14" t="str">
        <x:v>S05</x:v>
      </x:c>
      <x:c r="J49" s="14" t="str">
        <x:v>PCode conservé comme valeur de travail; validation officielle requise.</x:v>
      </x:c>
      <x:c r="K49" s="14" t="str">
        <x:v>2026-09-13</x:v>
      </x:c>
    </x:row>
    <x:row r="50">
      <x:c r="A50" s="14" t="n">
        <x:v>47</x:v>
      </x:c>
      <x:c r="B50" s="14" t="n">
        <x:v>10</x:v>
      </x:c>
      <x:c r="C50" s="14" t="str">
        <x:v>Tshuapa</x:v>
      </x:c>
      <x:c r="D50" s="14" t="str">
        <x:v>Befale</x:v>
      </x:c>
      <x:c r="E50" s="14" t="str">
        <x:v>COD-P10-T01</x:v>
      </x:c>
      <x:c r="F50" s="14" t="str">
        <x:v>4503</x:v>
      </x:c>
      <x:c r="G50" s="14" t="str">
        <x:v>45</x:v>
      </x:c>
      <x:c r="H50" s="14" t="str">
        <x:v>SOURCE_SECONDAIRE_A_VALIDER</x:v>
      </x:c>
      <x:c r="I50" s="14" t="str">
        <x:v>S05</x:v>
      </x:c>
      <x:c r="J50" s="14" t="str">
        <x:v>PCode conservé comme valeur de travail; validation officielle requise.</x:v>
      </x:c>
      <x:c r="K50" s="14" t="str">
        <x:v>2026-09-13</x:v>
      </x:c>
    </x:row>
    <x:row r="51">
      <x:c r="A51" s="14" t="n">
        <x:v>48</x:v>
      </x:c>
      <x:c r="B51" s="14" t="n">
        <x:v>10</x:v>
      </x:c>
      <x:c r="C51" s="14" t="str">
        <x:v>Tshuapa</x:v>
      </x:c>
      <x:c r="D51" s="14" t="str">
        <x:v>Boende</x:v>
      </x:c>
      <x:c r="E51" s="14" t="str">
        <x:v>COD-P10-T02</x:v>
      </x:c>
      <x:c r="F51" s="14" t="str">
        <x:v>4502</x:v>
      </x:c>
      <x:c r="G51" s="14" t="str">
        <x:v>45</x:v>
      </x:c>
      <x:c r="H51" s="14" t="str">
        <x:v>SOURCE_SECONDAIRE_A_VALIDER</x:v>
      </x:c>
      <x:c r="I51" s="14" t="str">
        <x:v>S05</x:v>
      </x:c>
      <x:c r="J51" s="14" t="str">
        <x:v>PCode conservé comme valeur de travail; validation officielle requise.</x:v>
      </x:c>
      <x:c r="K51" s="14" t="str">
        <x:v>2026-09-13</x:v>
      </x:c>
    </x:row>
    <x:row r="52">
      <x:c r="A52" s="14" t="n">
        <x:v>49</x:v>
      </x:c>
      <x:c r="B52" s="14" t="n">
        <x:v>10</x:v>
      </x:c>
      <x:c r="C52" s="14" t="str">
        <x:v>Tshuapa</x:v>
      </x:c>
      <x:c r="D52" s="14" t="str">
        <x:v>Bokungu</x:v>
      </x:c>
      <x:c r="E52" s="14" t="str">
        <x:v>COD-P10-T03</x:v>
      </x:c>
      <x:c r="F52" s="14" t="str">
        <x:v>4506</x:v>
      </x:c>
      <x:c r="G52" s="14" t="str">
        <x:v>45</x:v>
      </x:c>
      <x:c r="H52" s="14" t="str">
        <x:v>SOURCE_SECONDAIRE_A_VALIDER</x:v>
      </x:c>
      <x:c r="I52" s="14" t="str">
        <x:v>S05</x:v>
      </x:c>
      <x:c r="J52" s="14" t="str">
        <x:v>PCode conservé comme valeur de travail; validation officielle requise.</x:v>
      </x:c>
      <x:c r="K52" s="14" t="str">
        <x:v>2026-09-13</x:v>
      </x:c>
    </x:row>
    <x:row r="53">
      <x:c r="A53" s="14" t="n">
        <x:v>50</x:v>
      </x:c>
      <x:c r="B53" s="14" t="n">
        <x:v>10</x:v>
      </x:c>
      <x:c r="C53" s="14" t="str">
        <x:v>Tshuapa</x:v>
      </x:c>
      <x:c r="D53" s="14" t="str">
        <x:v>Djolu</x:v>
      </x:c>
      <x:c r="E53" s="14" t="str">
        <x:v>COD-P10-T04</x:v>
      </x:c>
      <x:c r="F53" s="14" t="str">
        <x:v>4504</x:v>
      </x:c>
      <x:c r="G53" s="14" t="str">
        <x:v>45</x:v>
      </x:c>
      <x:c r="H53" s="14" t="str">
        <x:v>SOURCE_SECONDAIRE_A_VALIDER</x:v>
      </x:c>
      <x:c r="I53" s="14" t="str">
        <x:v>S05</x:v>
      </x:c>
      <x:c r="J53" s="14" t="str">
        <x:v>PCode conservé comme valeur de travail; validation officielle requise.</x:v>
      </x:c>
      <x:c r="K53" s="14" t="str">
        <x:v>2026-09-13</x:v>
      </x:c>
    </x:row>
    <x:row r="54">
      <x:c r="A54" s="14" t="n">
        <x:v>51</x:v>
      </x:c>
      <x:c r="B54" s="14" t="n">
        <x:v>10</x:v>
      </x:c>
      <x:c r="C54" s="14" t="str">
        <x:v>Tshuapa</x:v>
      </x:c>
      <x:c r="D54" s="14" t="str">
        <x:v>Ikela</x:v>
      </x:c>
      <x:c r="E54" s="14" t="str">
        <x:v>COD-P10-T05</x:v>
      </x:c>
      <x:c r="F54" s="14" t="str">
        <x:v>4505</x:v>
      </x:c>
      <x:c r="G54" s="14" t="str">
        <x:v>45</x:v>
      </x:c>
      <x:c r="H54" s="14" t="str">
        <x:v>SOURCE_SECONDAIRE_A_VALIDER</x:v>
      </x:c>
      <x:c r="I54" s="14" t="str">
        <x:v>S05</x:v>
      </x:c>
      <x:c r="J54" s="14" t="str">
        <x:v>PCode conservé comme valeur de travail; validation officielle requise.</x:v>
      </x:c>
      <x:c r="K54" s="14" t="str">
        <x:v>2026-09-13</x:v>
      </x:c>
    </x:row>
    <x:row r="55">
      <x:c r="A55" s="14" t="n">
        <x:v>52</x:v>
      </x:c>
      <x:c r="B55" s="14" t="n">
        <x:v>10</x:v>
      </x:c>
      <x:c r="C55" s="14" t="str">
        <x:v>Tshuapa</x:v>
      </x:c>
      <x:c r="D55" s="14" t="str">
        <x:v>Monkoto</x:v>
      </x:c>
      <x:c r="E55" s="14" t="str">
        <x:v>COD-P10-T06</x:v>
      </x:c>
      <x:c r="F55" s="14" t="str">
        <x:v>4507</x:v>
      </x:c>
      <x:c r="G55" s="14" t="str">
        <x:v>45</x:v>
      </x:c>
      <x:c r="H55" s="14" t="str">
        <x:v>SOURCE_SECONDAIRE_A_VALIDER</x:v>
      </x:c>
      <x:c r="I55" s="14" t="str">
        <x:v>S05</x:v>
      </x:c>
      <x:c r="J55" s="14" t="str">
        <x:v>PCode conservé comme valeur de travail; validation officielle requise.</x:v>
      </x:c>
      <x:c r="K55" s="14" t="str">
        <x:v>2026-09-13</x:v>
      </x:c>
    </x:row>
    <x:row r="56">
      <x:c r="A56" s="14" t="n">
        <x:v>53</x:v>
      </x:c>
      <x:c r="B56" s="14" t="n">
        <x:v>11</x:v>
      </x:c>
      <x:c r="C56" s="14" t="str">
        <x:v>Tshopo</x:v>
      </x:c>
      <x:c r="D56" s="14" t="str">
        <x:v>Bafwasende</x:v>
      </x:c>
      <x:c r="E56" s="14" t="str">
        <x:v>COD-P11-T01</x:v>
      </x:c>
      <x:c r="F56" s="14" t="str">
        <x:v>5111</x:v>
      </x:c>
      <x:c r="G56" s="14" t="str">
        <x:v>51</x:v>
      </x:c>
      <x:c r="H56" s="14" t="str">
        <x:v>SOURCE_SECONDAIRE_A_VALIDER</x:v>
      </x:c>
      <x:c r="I56" s="14" t="str">
        <x:v>S05</x:v>
      </x:c>
      <x:c r="J56" s="14" t="str">
        <x:v>PCode conservé comme valeur de travail; validation officielle requise.</x:v>
      </x:c>
      <x:c r="K56" s="14" t="str">
        <x:v>2026-09-13</x:v>
      </x:c>
    </x:row>
    <x:row r="57">
      <x:c r="A57" s="14" t="n">
        <x:v>54</x:v>
      </x:c>
      <x:c r="B57" s="14" t="n">
        <x:v>11</x:v>
      </x:c>
      <x:c r="C57" s="14" t="str">
        <x:v>Tshopo</x:v>
      </x:c>
      <x:c r="D57" s="14" t="str">
        <x:v>Banalia</x:v>
      </x:c>
      <x:c r="E57" s="14" t="str">
        <x:v>COD-P11-T02</x:v>
      </x:c>
      <x:c r="F57" s="14" t="str">
        <x:v>5110</x:v>
      </x:c>
      <x:c r="G57" s="14" t="str">
        <x:v>51</x:v>
      </x:c>
      <x:c r="H57" s="14" t="str">
        <x:v>SOURCE_SECONDAIRE_A_VALIDER</x:v>
      </x:c>
      <x:c r="I57" s="14" t="str">
        <x:v>S05</x:v>
      </x:c>
      <x:c r="J57" s="14" t="str">
        <x:v>PCode conservé comme valeur de travail; validation officielle requise.</x:v>
      </x:c>
      <x:c r="K57" s="14" t="str">
        <x:v>2026-09-13</x:v>
      </x:c>
    </x:row>
    <x:row r="58">
      <x:c r="A58" s="14" t="n">
        <x:v>55</x:v>
      </x:c>
      <x:c r="B58" s="14" t="n">
        <x:v>11</x:v>
      </x:c>
      <x:c r="C58" s="14" t="str">
        <x:v>Tshopo</x:v>
      </x:c>
      <x:c r="D58" s="14" t="str">
        <x:v>Basoko</x:v>
      </x:c>
      <x:c r="E58" s="14" t="str">
        <x:v>COD-P11-T03</x:v>
      </x:c>
      <x:c r="F58" s="14" t="str">
        <x:v>5109</x:v>
      </x:c>
      <x:c r="G58" s="14" t="str">
        <x:v>51</x:v>
      </x:c>
      <x:c r="H58" s="14" t="str">
        <x:v>SOURCE_SECONDAIRE_A_VALIDER</x:v>
      </x:c>
      <x:c r="I58" s="14" t="str">
        <x:v>S05</x:v>
      </x:c>
      <x:c r="J58" s="14" t="str">
        <x:v>PCode conservé comme valeur de travail; validation officielle requise.</x:v>
      </x:c>
      <x:c r="K58" s="14" t="str">
        <x:v>2026-09-13</x:v>
      </x:c>
    </x:row>
    <x:row r="59">
      <x:c r="A59" s="14" t="n">
        <x:v>56</x:v>
      </x:c>
      <x:c r="B59" s="14" t="n">
        <x:v>11</x:v>
      </x:c>
      <x:c r="C59" s="14" t="str">
        <x:v>Tshopo</x:v>
      </x:c>
      <x:c r="D59" s="14" t="str">
        <x:v>Isangi</x:v>
      </x:c>
      <x:c r="E59" s="14" t="str">
        <x:v>COD-P11-T04</x:v>
      </x:c>
      <x:c r="F59" s="14" t="str">
        <x:v>5105</x:v>
      </x:c>
      <x:c r="G59" s="14" t="str">
        <x:v>51</x:v>
      </x:c>
      <x:c r="H59" s="14" t="str">
        <x:v>SOURCE_SECONDAIRE_A_VALIDER</x:v>
      </x:c>
      <x:c r="I59" s="14" t="str">
        <x:v>S05</x:v>
      </x:c>
      <x:c r="J59" s="14" t="str">
        <x:v>PCode conservé comme valeur de travail; validation officielle requise.</x:v>
      </x:c>
      <x:c r="K59" s="14" t="str">
        <x:v>2026-09-13</x:v>
      </x:c>
    </x:row>
    <x:row r="60">
      <x:c r="A60" s="14" t="n">
        <x:v>57</x:v>
      </x:c>
      <x:c r="B60" s="14" t="n">
        <x:v>11</x:v>
      </x:c>
      <x:c r="C60" s="14" t="str">
        <x:v>Tshopo</x:v>
      </x:c>
      <x:c r="D60" s="14" t="str">
        <x:v>Opala</x:v>
      </x:c>
      <x:c r="E60" s="14" t="str">
        <x:v>COD-P11-T05</x:v>
      </x:c>
      <x:c r="F60" s="14" t="str">
        <x:v>5103</x:v>
      </x:c>
      <x:c r="G60" s="14" t="str">
        <x:v>51</x:v>
      </x:c>
      <x:c r="H60" s="14" t="str">
        <x:v>SOURCE_SECONDAIRE_A_VALIDER</x:v>
      </x:c>
      <x:c r="I60" s="14" t="str">
        <x:v>S05</x:v>
      </x:c>
      <x:c r="J60" s="14" t="str">
        <x:v>PCode conservé comme valeur de travail; validation officielle requise.</x:v>
      </x:c>
      <x:c r="K60" s="14" t="str">
        <x:v>2026-09-13</x:v>
      </x:c>
    </x:row>
    <x:row r="61">
      <x:c r="A61" s="14" t="n">
        <x:v>58</x:v>
      </x:c>
      <x:c r="B61" s="14" t="n">
        <x:v>11</x:v>
      </x:c>
      <x:c r="C61" s="14" t="str">
        <x:v>Tshopo</x:v>
      </x:c>
      <x:c r="D61" s="14" t="str">
        <x:v>Ubundu</x:v>
      </x:c>
      <x:c r="E61" s="14" t="str">
        <x:v>COD-P11-T06</x:v>
      </x:c>
      <x:c r="F61" s="14" t="str">
        <x:v>5108</x:v>
      </x:c>
      <x:c r="G61" s="14" t="str">
        <x:v>51</x:v>
      </x:c>
      <x:c r="H61" s="14" t="str">
        <x:v>SOURCE_SECONDAIRE_A_VALIDER</x:v>
      </x:c>
      <x:c r="I61" s="14" t="str">
        <x:v>S05</x:v>
      </x:c>
      <x:c r="J61" s="14" t="str">
        <x:v>PCode conservé comme valeur de travail; validation officielle requise.</x:v>
      </x:c>
      <x:c r="K61" s="14" t="str">
        <x:v>2026-09-13</x:v>
      </x:c>
    </x:row>
    <x:row r="62">
      <x:c r="A62" s="14" t="n">
        <x:v>59</x:v>
      </x:c>
      <x:c r="B62" s="14" t="n">
        <x:v>11</x:v>
      </x:c>
      <x:c r="C62" s="14" t="str">
        <x:v>Tshopo</x:v>
      </x:c>
      <x:c r="D62" s="14" t="str">
        <x:v>Yahuma</x:v>
      </x:c>
      <x:c r="E62" s="14" t="str">
        <x:v>COD-P11-T07</x:v>
      </x:c>
      <x:c r="F62" s="14" t="str">
        <x:v>5107</x:v>
      </x:c>
      <x:c r="G62" s="14" t="str">
        <x:v>51</x:v>
      </x:c>
      <x:c r="H62" s="14" t="str">
        <x:v>SOURCE_SECONDAIRE_A_VALIDER</x:v>
      </x:c>
      <x:c r="I62" s="14" t="str">
        <x:v>S05</x:v>
      </x:c>
      <x:c r="J62" s="14" t="str">
        <x:v>PCode conservé comme valeur de travail; validation officielle requise.</x:v>
      </x:c>
      <x:c r="K62" s="14" t="str">
        <x:v>2026-09-13</x:v>
      </x:c>
    </x:row>
    <x:row r="63">
      <x:c r="A63" s="14" t="n">
        <x:v>60</x:v>
      </x:c>
      <x:c r="B63" s="14" t="n">
        <x:v>12</x:v>
      </x:c>
      <x:c r="C63" s="14" t="str">
        <x:v>Bas-Uele</x:v>
      </x:c>
      <x:c r="D63" s="14" t="str">
        <x:v>Aketi</x:v>
      </x:c>
      <x:c r="E63" s="14" t="str">
        <x:v>COD-P12-T01</x:v>
      </x:c>
      <x:c r="F63" s="14" t="str">
        <x:v>5204</x:v>
      </x:c>
      <x:c r="G63" s="14" t="str">
        <x:v>52</x:v>
      </x:c>
      <x:c r="H63" s="14" t="str">
        <x:v>SOURCE_SECONDAIRE_A_VALIDER</x:v>
      </x:c>
      <x:c r="I63" s="14" t="str">
        <x:v>S05</x:v>
      </x:c>
      <x:c r="J63" s="14" t="str">
        <x:v>PCode conservé comme valeur de travail; validation officielle requise.</x:v>
      </x:c>
      <x:c r="K63" s="14" t="str">
        <x:v>2026-09-13</x:v>
      </x:c>
    </x:row>
    <x:row r="64">
      <x:c r="A64" s="14" t="n">
        <x:v>61</x:v>
      </x:c>
      <x:c r="B64" s="14" t="n">
        <x:v>12</x:v>
      </x:c>
      <x:c r="C64" s="14" t="str">
        <x:v>Bas-Uele</x:v>
      </x:c>
      <x:c r="D64" s="14" t="str">
        <x:v>Ango</x:v>
      </x:c>
      <x:c r="E64" s="14" t="str">
        <x:v>COD-P12-T02</x:v>
      </x:c>
      <x:c r="F64" s="14" t="str">
        <x:v>5207</x:v>
      </x:c>
      <x:c r="G64" s="14" t="str">
        <x:v>52</x:v>
      </x:c>
      <x:c r="H64" s="14" t="str">
        <x:v>SOURCE_SECONDAIRE_A_VALIDER</x:v>
      </x:c>
      <x:c r="I64" s="14" t="str">
        <x:v>S05</x:v>
      </x:c>
      <x:c r="J64" s="14" t="str">
        <x:v>PCode conservé comme valeur de travail; validation officielle requise.</x:v>
      </x:c>
      <x:c r="K64" s="14" t="str">
        <x:v>2026-09-13</x:v>
      </x:c>
    </x:row>
    <x:row r="65">
      <x:c r="A65" s="14" t="n">
        <x:v>62</x:v>
      </x:c>
      <x:c r="B65" s="14" t="n">
        <x:v>12</x:v>
      </x:c>
      <x:c r="C65" s="14" t="str">
        <x:v>Bas-Uele</x:v>
      </x:c>
      <x:c r="D65" s="14" t="str">
        <x:v>Bambesa</x:v>
      </x:c>
      <x:c r="E65" s="14" t="str">
        <x:v>COD-P12-T03</x:v>
      </x:c>
      <x:c r="F65" s="14" t="str">
        <x:v>5209</x:v>
      </x:c>
      <x:c r="G65" s="14" t="str">
        <x:v>52</x:v>
      </x:c>
      <x:c r="H65" s="14" t="str">
        <x:v>SOURCE_SECONDAIRE_A_VALIDER</x:v>
      </x:c>
      <x:c r="I65" s="14" t="str">
        <x:v>S05</x:v>
      </x:c>
      <x:c r="J65" s="14" t="str">
        <x:v>PCode conservé comme valeur de travail; validation officielle requise.</x:v>
      </x:c>
      <x:c r="K65" s="14" t="str">
        <x:v>2026-09-13</x:v>
      </x:c>
    </x:row>
    <x:row r="66">
      <x:c r="A66" s="14" t="n">
        <x:v>63</x:v>
      </x:c>
      <x:c r="B66" s="14" t="n">
        <x:v>12</x:v>
      </x:c>
      <x:c r="C66" s="14" t="str">
        <x:v>Bas-Uele</x:v>
      </x:c>
      <x:c r="D66" s="14" t="str">
        <x:v>Bondo</x:v>
      </x:c>
      <x:c r="E66" s="14" t="str">
        <x:v>COD-P12-T04</x:v>
      </x:c>
      <x:c r="F66" s="14" t="str">
        <x:v>5206</x:v>
      </x:c>
      <x:c r="G66" s="14" t="str">
        <x:v>52</x:v>
      </x:c>
      <x:c r="H66" s="14" t="str">
        <x:v>SOURCE_SECONDAIRE_A_VALIDER</x:v>
      </x:c>
      <x:c r="I66" s="14" t="str">
        <x:v>S05</x:v>
      </x:c>
      <x:c r="J66" s="14" t="str">
        <x:v>PCode conservé comme valeur de travail; validation officielle requise.</x:v>
      </x:c>
      <x:c r="K66" s="14" t="str">
        <x:v>2026-09-13</x:v>
      </x:c>
    </x:row>
    <x:row r="67">
      <x:c r="A67" s="14" t="n">
        <x:v>64</x:v>
      </x:c>
      <x:c r="B67" s="14" t="n">
        <x:v>12</x:v>
      </x:c>
      <x:c r="C67" s="14" t="str">
        <x:v>Bas-Uele</x:v>
      </x:c>
      <x:c r="D67" s="14" t="str">
        <x:v>Buta</x:v>
      </x:c>
      <x:c r="E67" s="14" t="str">
        <x:v>COD-P12-T05</x:v>
      </x:c>
      <x:c r="F67" s="14" t="str">
        <x:v>5202</x:v>
      </x:c>
      <x:c r="G67" s="14" t="str">
        <x:v>52</x:v>
      </x:c>
      <x:c r="H67" s="14" t="str">
        <x:v>SOURCE_SECONDAIRE_A_VALIDER</x:v>
      </x:c>
      <x:c r="I67" s="14" t="str">
        <x:v>S05</x:v>
      </x:c>
      <x:c r="J67" s="14" t="str">
        <x:v>PCode conservé comme valeur de travail; validation officielle requise.</x:v>
      </x:c>
      <x:c r="K67" s="14" t="str">
        <x:v>2026-09-13</x:v>
      </x:c>
    </x:row>
    <x:row r="68">
      <x:c r="A68" s="14" t="n">
        <x:v>65</x:v>
      </x:c>
      <x:c r="B68" s="14" t="n">
        <x:v>12</x:v>
      </x:c>
      <x:c r="C68" s="14" t="str">
        <x:v>Bas-Uele</x:v>
      </x:c>
      <x:c r="D68" s="14" t="str">
        <x:v>Poko</x:v>
      </x:c>
      <x:c r="E68" s="14" t="str">
        <x:v>COD-P12-T06</x:v>
      </x:c>
      <x:c r="F68" s="14" t="str">
        <x:v>5208</x:v>
      </x:c>
      <x:c r="G68" s="14" t="str">
        <x:v>52</x:v>
      </x:c>
      <x:c r="H68" s="14" t="str">
        <x:v>SOURCE_SECONDAIRE_A_VALIDER</x:v>
      </x:c>
      <x:c r="I68" s="14" t="str">
        <x:v>S05</x:v>
      </x:c>
      <x:c r="J68" s="14" t="str">
        <x:v>PCode conservé comme valeur de travail; validation officielle requise.</x:v>
      </x:c>
      <x:c r="K68" s="14" t="str">
        <x:v>2026-09-13</x:v>
      </x:c>
    </x:row>
    <x:row r="69">
      <x:c r="A69" s="14" t="n">
        <x:v>66</x:v>
      </x:c>
      <x:c r="B69" s="14" t="n">
        <x:v>13</x:v>
      </x:c>
      <x:c r="C69" s="14" t="str">
        <x:v>Haut-Uele</x:v>
      </x:c>
      <x:c r="D69" s="14" t="str">
        <x:v>Dungu</x:v>
      </x:c>
      <x:c r="E69" s="14" t="str">
        <x:v>COD-P13-T01</x:v>
      </x:c>
      <x:c r="F69" s="14" t="str">
        <x:v>5305</x:v>
      </x:c>
      <x:c r="G69" s="14" t="str">
        <x:v>53</x:v>
      </x:c>
      <x:c r="H69" s="14" t="str">
        <x:v>SOURCE_SECONDAIRE_A_VALIDER</x:v>
      </x:c>
      <x:c r="I69" s="14" t="str">
        <x:v>S05</x:v>
      </x:c>
      <x:c r="J69" s="14" t="str">
        <x:v>PCode conservé comme valeur de travail; validation officielle requise.</x:v>
      </x:c>
      <x:c r="K69" s="14" t="str">
        <x:v>2026-09-13</x:v>
      </x:c>
    </x:row>
    <x:row r="70">
      <x:c r="A70" s="14" t="n">
        <x:v>67</x:v>
      </x:c>
      <x:c r="B70" s="14" t="n">
        <x:v>13</x:v>
      </x:c>
      <x:c r="C70" s="14" t="str">
        <x:v>Haut-Uele</x:v>
      </x:c>
      <x:c r="D70" s="14" t="str">
        <x:v>Faradje</x:v>
      </x:c>
      <x:c r="E70" s="14" t="str">
        <x:v>COD-P13-T02</x:v>
      </x:c>
      <x:c r="F70" s="14" t="str">
        <x:v>5307</x:v>
      </x:c>
      <x:c r="G70" s="14" t="str">
        <x:v>53</x:v>
      </x:c>
      <x:c r="H70" s="14" t="str">
        <x:v>SOURCE_SECONDAIRE_A_VALIDER</x:v>
      </x:c>
      <x:c r="I70" s="14" t="str">
        <x:v>S05</x:v>
      </x:c>
      <x:c r="J70" s="14" t="str">
        <x:v>PCode conservé comme valeur de travail; validation officielle requise.</x:v>
      </x:c>
      <x:c r="K70" s="14" t="str">
        <x:v>2026-09-13</x:v>
      </x:c>
    </x:row>
    <x:row r="71">
      <x:c r="A71" s="14" t="n">
        <x:v>68</x:v>
      </x:c>
      <x:c r="B71" s="14" t="n">
        <x:v>13</x:v>
      </x:c>
      <x:c r="C71" s="14" t="str">
        <x:v>Haut-Uele</x:v>
      </x:c>
      <x:c r="D71" s="14" t="str">
        <x:v>Niangara</x:v>
      </x:c>
      <x:c r="E71" s="14" t="str">
        <x:v>COD-P13-T03</x:v>
      </x:c>
      <x:c r="F71" s="14" t="str">
        <x:v>5303</x:v>
      </x:c>
      <x:c r="G71" s="14" t="str">
        <x:v>53</x:v>
      </x:c>
      <x:c r="H71" s="14" t="str">
        <x:v>SOURCE_SECONDAIRE_A_VALIDER</x:v>
      </x:c>
      <x:c r="I71" s="14" t="str">
        <x:v>S05</x:v>
      </x:c>
      <x:c r="J71" s="14" t="str">
        <x:v>PCode conservé comme valeur de travail; validation officielle requise.</x:v>
      </x:c>
      <x:c r="K71" s="14" t="str">
        <x:v>2026-09-13</x:v>
      </x:c>
    </x:row>
    <x:row r="72">
      <x:c r="A72" s="14" t="n">
        <x:v>69</x:v>
      </x:c>
      <x:c r="B72" s="14" t="n">
        <x:v>13</x:v>
      </x:c>
      <x:c r="C72" s="14" t="str">
        <x:v>Haut-Uele</x:v>
      </x:c>
      <x:c r="D72" s="14" t="str">
        <x:v>Rungu</x:v>
      </x:c>
      <x:c r="E72" s="14" t="str">
        <x:v>COD-P13-T04</x:v>
      </x:c>
      <x:c r="F72" s="14" t="str">
        <x:v>5302</x:v>
      </x:c>
      <x:c r="G72" s="14" t="str">
        <x:v>53</x:v>
      </x:c>
      <x:c r="H72" s="14" t="str">
        <x:v>SOURCE_SECONDAIRE_A_VALIDER</x:v>
      </x:c>
      <x:c r="I72" s="14" t="str">
        <x:v>S05</x:v>
      </x:c>
      <x:c r="J72" s="14" t="str">
        <x:v>PCode conservé comme valeur de travail; validation officielle requise.</x:v>
      </x:c>
      <x:c r="K72" s="14" t="str">
        <x:v>2026-09-13</x:v>
      </x:c>
    </x:row>
    <x:row r="73">
      <x:c r="A73" s="14" t="n">
        <x:v>70</x:v>
      </x:c>
      <x:c r="B73" s="14" t="n">
        <x:v>13</x:v>
      </x:c>
      <x:c r="C73" s="14" t="str">
        <x:v>Haut-Uele</x:v>
      </x:c>
      <x:c r="D73" s="14" t="str">
        <x:v>Wamba</x:v>
      </x:c>
      <x:c r="E73" s="14" t="str">
        <x:v>COD-P13-T05</x:v>
      </x:c>
      <x:c r="F73" s="14" t="str">
        <x:v>5311</x:v>
      </x:c>
      <x:c r="G73" s="14" t="str">
        <x:v>53</x:v>
      </x:c>
      <x:c r="H73" s="14" t="str">
        <x:v>SOURCE_SECONDAIRE_A_VALIDER</x:v>
      </x:c>
      <x:c r="I73" s="14" t="str">
        <x:v>S05</x:v>
      </x:c>
      <x:c r="J73" s="14" t="str">
        <x:v>PCode conservé comme valeur de travail; validation officielle requise.</x:v>
      </x:c>
      <x:c r="K73" s="14" t="str">
        <x:v>2026-09-13</x:v>
      </x:c>
    </x:row>
    <x:row r="74">
      <x:c r="A74" s="14" t="n">
        <x:v>71</x:v>
      </x:c>
      <x:c r="B74" s="14" t="n">
        <x:v>13</x:v>
      </x:c>
      <x:c r="C74" s="14" t="str">
        <x:v>Haut-Uele</x:v>
      </x:c>
      <x:c r="D74" s="14" t="str">
        <x:v>Watsa</x:v>
      </x:c>
      <x:c r="E74" s="14" t="str">
        <x:v>COD-P13-T06</x:v>
      </x:c>
      <x:c r="F74" s="14" t="str">
        <x:v>5309</x:v>
      </x:c>
      <x:c r="G74" s="14" t="str">
        <x:v>53</x:v>
      </x:c>
      <x:c r="H74" s="14" t="str">
        <x:v>SOURCE_SECONDAIRE_A_VALIDER</x:v>
      </x:c>
      <x:c r="I74" s="14" t="str">
        <x:v>S05</x:v>
      </x:c>
      <x:c r="J74" s="14" t="str">
        <x:v>PCode conservé comme valeur de travail; validation officielle requise.</x:v>
      </x:c>
      <x:c r="K74" s="14" t="str">
        <x:v>2026-09-13</x:v>
      </x:c>
    </x:row>
    <x:row r="75">
      <x:c r="A75" s="14" t="n">
        <x:v>72</x:v>
      </x:c>
      <x:c r="B75" s="14" t="n">
        <x:v>14</x:v>
      </x:c>
      <x:c r="C75" s="14" t="str">
        <x:v>Ituri</x:v>
      </x:c>
      <x:c r="D75" s="14" t="str">
        <x:v>Aru</x:v>
      </x:c>
      <x:c r="E75" s="14" t="str">
        <x:v>COD-P14-T01</x:v>
      </x:c>
      <x:c r="F75" s="14" t="str">
        <x:v>5409</x:v>
      </x:c>
      <x:c r="G75" s="14" t="str">
        <x:v>54</x:v>
      </x:c>
      <x:c r="H75" s="14" t="str">
        <x:v>SOURCE_SECONDAIRE_A_VALIDER</x:v>
      </x:c>
      <x:c r="I75" s="14" t="str">
        <x:v>S05</x:v>
      </x:c>
      <x:c r="J75" s="14" t="str">
        <x:v>PCode conservé comme valeur de travail; validation officielle requise.</x:v>
      </x:c>
      <x:c r="K75" s="14" t="str">
        <x:v>2026-09-13</x:v>
      </x:c>
    </x:row>
    <x:row r="76">
      <x:c r="A76" s="14" t="n">
        <x:v>73</x:v>
      </x:c>
      <x:c r="B76" s="14" t="n">
        <x:v>14</x:v>
      </x:c>
      <x:c r="C76" s="14" t="str">
        <x:v>Ituri</x:v>
      </x:c>
      <x:c r="D76" s="14" t="str">
        <x:v>Djugu</x:v>
      </x:c>
      <x:c r="E76" s="14" t="str">
        <x:v>COD-P14-T02</x:v>
      </x:c>
      <x:c r="F76" s="14" t="str">
        <x:v>5405</x:v>
      </x:c>
      <x:c r="G76" s="14" t="str">
        <x:v>54</x:v>
      </x:c>
      <x:c r="H76" s="14" t="str">
        <x:v>SOURCE_SECONDAIRE_A_VALIDER</x:v>
      </x:c>
      <x:c r="I76" s="14" t="str">
        <x:v>S05</x:v>
      </x:c>
      <x:c r="J76" s="14" t="str">
        <x:v>PCode conservé comme valeur de travail; validation officielle requise.</x:v>
      </x:c>
      <x:c r="K76" s="14" t="str">
        <x:v>2026-09-13</x:v>
      </x:c>
    </x:row>
    <x:row r="77">
      <x:c r="A77" s="14" t="n">
        <x:v>74</x:v>
      </x:c>
      <x:c r="B77" s="14" t="n">
        <x:v>14</x:v>
      </x:c>
      <x:c r="C77" s="14" t="str">
        <x:v>Ituri</x:v>
      </x:c>
      <x:c r="D77" s="14" t="str">
        <x:v>Irumu</x:v>
      </x:c>
      <x:c r="E77" s="14" t="str">
        <x:v>COD-P14-T03</x:v>
      </x:c>
      <x:c r="F77" s="14" t="str">
        <x:v>5402</x:v>
      </x:c>
      <x:c r="G77" s="14" t="str">
        <x:v>54</x:v>
      </x:c>
      <x:c r="H77" s="14" t="str">
        <x:v>SOURCE_SECONDAIRE_A_VALIDER</x:v>
      </x:c>
      <x:c r="I77" s="14" t="str">
        <x:v>S05</x:v>
      </x:c>
      <x:c r="J77" s="14" t="str">
        <x:v>PCode conservé comme valeur de travail; validation officielle requise.</x:v>
      </x:c>
      <x:c r="K77" s="14" t="str">
        <x:v>2026-09-13</x:v>
      </x:c>
    </x:row>
    <x:row r="78">
      <x:c r="A78" s="14" t="n">
        <x:v>75</x:v>
      </x:c>
      <x:c r="B78" s="14" t="n">
        <x:v>14</x:v>
      </x:c>
      <x:c r="C78" s="14" t="str">
        <x:v>Ituri</x:v>
      </x:c>
      <x:c r="D78" s="14" t="str">
        <x:v>Mahagi</x:v>
      </x:c>
      <x:c r="E78" s="14" t="str">
        <x:v>COD-P14-T04</x:v>
      </x:c>
      <x:c r="F78" s="14" t="str">
        <x:v>5407</x:v>
      </x:c>
      <x:c r="G78" s="14" t="str">
        <x:v>54</x:v>
      </x:c>
      <x:c r="H78" s="14" t="str">
        <x:v>SOURCE_SECONDAIRE_A_VALIDER</x:v>
      </x:c>
      <x:c r="I78" s="14" t="str">
        <x:v>S05</x:v>
      </x:c>
      <x:c r="J78" s="14" t="str">
        <x:v>PCode conservé comme valeur de travail; validation officielle requise.</x:v>
      </x:c>
      <x:c r="K78" s="14" t="str">
        <x:v>2026-09-13</x:v>
      </x:c>
    </x:row>
    <x:row r="79">
      <x:c r="A79" s="14" t="n">
        <x:v>76</x:v>
      </x:c>
      <x:c r="B79" s="14" t="n">
        <x:v>14</x:v>
      </x:c>
      <x:c r="C79" s="14" t="str">
        <x:v>Ituri</x:v>
      </x:c>
      <x:c r="D79" s="14" t="str">
        <x:v>Mambasa</x:v>
      </x:c>
      <x:c r="E79" s="14" t="str">
        <x:v>COD-P14-T05</x:v>
      </x:c>
      <x:c r="F79" s="14" t="str">
        <x:v>5403</x:v>
      </x:c>
      <x:c r="G79" s="14" t="str">
        <x:v>54</x:v>
      </x:c>
      <x:c r="H79" s="14" t="str">
        <x:v>SOURCE_SECONDAIRE_A_VALIDER</x:v>
      </x:c>
      <x:c r="I79" s="14" t="str">
        <x:v>S05</x:v>
      </x:c>
      <x:c r="J79" s="14" t="str">
        <x:v>PCode conservé comme valeur de travail; validation officielle requise.</x:v>
      </x:c>
      <x:c r="K79" s="14" t="str">
        <x:v>2026-09-13</x:v>
      </x:c>
    </x:row>
    <x:row r="80">
      <x:c r="A80" s="14" t="n">
        <x:v>77</x:v>
      </x:c>
      <x:c r="B80" s="14" t="n">
        <x:v>15</x:v>
      </x:c>
      <x:c r="C80" s="14" t="str">
        <x:v>Nord-Kivu</x:v>
      </x:c>
      <x:c r="D80" s="14" t="str">
        <x:v>Beni</x:v>
      </x:c>
      <x:c r="E80" s="14" t="str">
        <x:v>COD-P15-T01</x:v>
      </x:c>
      <x:c r="F80" s="14" t="str">
        <x:v>6109</x:v>
      </x:c>
      <x:c r="G80" s="14" t="str">
        <x:v>61</x:v>
      </x:c>
      <x:c r="H80" s="14" t="str">
        <x:v>SOURCE_SECONDAIRE_A_VALIDER</x:v>
      </x:c>
      <x:c r="I80" s="14" t="str">
        <x:v>S05</x:v>
      </x:c>
      <x:c r="J80" s="14" t="str">
        <x:v>PCode conservé comme valeur de travail; validation officielle requise.</x:v>
      </x:c>
      <x:c r="K80" s="14" t="str">
        <x:v>2026-09-13</x:v>
      </x:c>
    </x:row>
    <x:row r="81">
      <x:c r="A81" s="14" t="n">
        <x:v>78</x:v>
      </x:c>
      <x:c r="B81" s="14" t="n">
        <x:v>15</x:v>
      </x:c>
      <x:c r="C81" s="14" t="str">
        <x:v>Nord-Kivu</x:v>
      </x:c>
      <x:c r="D81" s="14" t="str">
        <x:v>Lubero</x:v>
      </x:c>
      <x:c r="E81" s="14" t="str">
        <x:v>COD-P15-T02</x:v>
      </x:c>
      <x:c r="F81" s="14" t="str">
        <x:v>6105</x:v>
      </x:c>
      <x:c r="G81" s="14" t="str">
        <x:v>61</x:v>
      </x:c>
      <x:c r="H81" s="14" t="str">
        <x:v>SOURCE_SECONDAIRE_A_VALIDER</x:v>
      </x:c>
      <x:c r="I81" s="14" t="str">
        <x:v>S05</x:v>
      </x:c>
      <x:c r="J81" s="14" t="str">
        <x:v>PCode conservé comme valeur de travail; validation officielle requise.</x:v>
      </x:c>
      <x:c r="K81" s="14" t="str">
        <x:v>2026-09-13</x:v>
      </x:c>
    </x:row>
    <x:row r="82">
      <x:c r="A82" s="14" t="n">
        <x:v>79</x:v>
      </x:c>
      <x:c r="B82" s="14" t="n">
        <x:v>15</x:v>
      </x:c>
      <x:c r="C82" s="14" t="str">
        <x:v>Nord-Kivu</x:v>
      </x:c>
      <x:c r="D82" s="14" t="str">
        <x:v>Masisi</x:v>
      </x:c>
      <x:c r="E82" s="14" t="str">
        <x:v>COD-P15-T03</x:v>
      </x:c>
      <x:c r="F82" s="14" t="str">
        <x:v>6103</x:v>
      </x:c>
      <x:c r="G82" s="14" t="str">
        <x:v>61</x:v>
      </x:c>
      <x:c r="H82" s="14" t="str">
        <x:v>SOURCE_SECONDAIRE_A_VALIDER</x:v>
      </x:c>
      <x:c r="I82" s="14" t="str">
        <x:v>S05</x:v>
      </x:c>
      <x:c r="J82" s="14" t="str">
        <x:v>PCode conservé comme valeur de travail; validation officielle requise.</x:v>
      </x:c>
      <x:c r="K82" s="14" t="str">
        <x:v>2026-09-13</x:v>
      </x:c>
    </x:row>
    <x:row r="83">
      <x:c r="A83" s="14" t="n">
        <x:v>80</x:v>
      </x:c>
      <x:c r="B83" s="14" t="n">
        <x:v>15</x:v>
      </x:c>
      <x:c r="C83" s="14" t="str">
        <x:v>Nord-Kivu</x:v>
      </x:c>
      <x:c r="D83" s="14" t="str">
        <x:v>Nyiragongo</x:v>
      </x:c>
      <x:c r="E83" s="14" t="str">
        <x:v>COD-P15-T04</x:v>
      </x:c>
      <x:c r="F83" s="14" t="str">
        <x:v>6102</x:v>
      </x:c>
      <x:c r="G83" s="14" t="str">
        <x:v>61</x:v>
      </x:c>
      <x:c r="H83" s="14" t="str">
        <x:v>SOURCE_SECONDAIRE_A_VALIDER</x:v>
      </x:c>
      <x:c r="I83" s="14" t="str">
        <x:v>S05</x:v>
      </x:c>
      <x:c r="J83" s="14" t="str">
        <x:v>PCode conservé comme valeur de travail; validation officielle requise.</x:v>
      </x:c>
      <x:c r="K83" s="14" t="str">
        <x:v>2026-09-13</x:v>
      </x:c>
    </x:row>
    <x:row r="84">
      <x:c r="A84" s="14" t="n">
        <x:v>81</x:v>
      </x:c>
      <x:c r="B84" s="14" t="n">
        <x:v>15</x:v>
      </x:c>
      <x:c r="C84" s="14" t="str">
        <x:v>Nord-Kivu</x:v>
      </x:c>
      <x:c r="D84" s="14" t="str">
        <x:v>Rutshuru</x:v>
      </x:c>
      <x:c r="E84" s="14" t="str">
        <x:v>COD-P15-T05</x:v>
      </x:c>
      <x:c r="F84" s="14" t="str">
        <x:v>6112</x:v>
      </x:c>
      <x:c r="G84" s="14" t="str">
        <x:v>61</x:v>
      </x:c>
      <x:c r="H84" s="14" t="str">
        <x:v>SOURCE_SECONDAIRE_A_VALIDER</x:v>
      </x:c>
      <x:c r="I84" s="14" t="str">
        <x:v>S05</x:v>
      </x:c>
      <x:c r="J84" s="14" t="str">
        <x:v>PCode conservé comme valeur de travail; validation officielle requise.</x:v>
      </x:c>
      <x:c r="K84" s="14" t="str">
        <x:v>2026-09-13</x:v>
      </x:c>
    </x:row>
    <x:row r="85">
      <x:c r="A85" s="14" t="n">
        <x:v>82</x:v>
      </x:c>
      <x:c r="B85" s="14" t="n">
        <x:v>15</x:v>
      </x:c>
      <x:c r="C85" s="14" t="str">
        <x:v>Nord-Kivu</x:v>
      </x:c>
      <x:c r="D85" s="14" t="str">
        <x:v>Walikale</x:v>
      </x:c>
      <x:c r="E85" s="14" t="str">
        <x:v>COD-P15-T06</x:v>
      </x:c>
      <x:c r="F85" s="14" t="str">
        <x:v>6104</x:v>
      </x:c>
      <x:c r="G85" s="14" t="str">
        <x:v>61</x:v>
      </x:c>
      <x:c r="H85" s="14" t="str">
        <x:v>SOURCE_SECONDAIRE_A_VALIDER</x:v>
      </x:c>
      <x:c r="I85" s="14" t="str">
        <x:v>S05</x:v>
      </x:c>
      <x:c r="J85" s="14" t="str">
        <x:v>PCode conservé comme valeur de travail; validation officielle requise.</x:v>
      </x:c>
      <x:c r="K85" s="14" t="str">
        <x:v>2026-09-13</x:v>
      </x:c>
    </x:row>
    <x:row r="86">
      <x:c r="A86" s="14" t="n">
        <x:v>83</x:v>
      </x:c>
      <x:c r="B86" s="14" t="n">
        <x:v>16</x:v>
      </x:c>
      <x:c r="C86" s="14" t="str">
        <x:v>Sud-Kivu</x:v>
      </x:c>
      <x:c r="D86" s="14" t="str">
        <x:v>Fizi</x:v>
      </x:c>
      <x:c r="E86" s="14" t="str">
        <x:v>COD-P16-T01</x:v>
      </x:c>
      <x:c r="F86" s="14" t="str">
        <x:v>6210</x:v>
      </x:c>
      <x:c r="G86" s="14" t="str">
        <x:v>62</x:v>
      </x:c>
      <x:c r="H86" s="14" t="str">
        <x:v>SOURCE_SECONDAIRE_A_VALIDER</x:v>
      </x:c>
      <x:c r="I86" s="14" t="str">
        <x:v>S05</x:v>
      </x:c>
      <x:c r="J86" s="14" t="str">
        <x:v>PCode conservé comme valeur de travail; validation officielle requise.</x:v>
      </x:c>
      <x:c r="K86" s="14" t="str">
        <x:v>2026-09-13</x:v>
      </x:c>
    </x:row>
    <x:row r="87">
      <x:c r="A87" s="14" t="n">
        <x:v>84</x:v>
      </x:c>
      <x:c r="B87" s="14" t="n">
        <x:v>16</x:v>
      </x:c>
      <x:c r="C87" s="14" t="str">
        <x:v>Sud-Kivu</x:v>
      </x:c>
      <x:c r="D87" s="14" t="str">
        <x:v>Idjwi</x:v>
      </x:c>
      <x:c r="E87" s="14" t="str">
        <x:v>COD-P16-T02</x:v>
      </x:c>
      <x:c r="F87" s="14" t="str">
        <x:v>6206</x:v>
      </x:c>
      <x:c r="G87" s="14" t="str">
        <x:v>62</x:v>
      </x:c>
      <x:c r="H87" s="14" t="str">
        <x:v>SOURCE_SECONDAIRE_A_VALIDER</x:v>
      </x:c>
      <x:c r="I87" s="14" t="str">
        <x:v>S05</x:v>
      </x:c>
      <x:c r="J87" s="14" t="str">
        <x:v>PCode conservé comme valeur de travail; validation officielle requise.</x:v>
      </x:c>
      <x:c r="K87" s="14" t="str">
        <x:v>2026-09-13</x:v>
      </x:c>
    </x:row>
    <x:row r="88">
      <x:c r="A88" s="14" t="n">
        <x:v>85</x:v>
      </x:c>
      <x:c r="B88" s="14" t="n">
        <x:v>16</x:v>
      </x:c>
      <x:c r="C88" s="14" t="str">
        <x:v>Sud-Kivu</x:v>
      </x:c>
      <x:c r="D88" s="14" t="str">
        <x:v>Kabare</x:v>
      </x:c>
      <x:c r="E88" s="14" t="str">
        <x:v>COD-P16-T03</x:v>
      </x:c>
      <x:c r="F88" s="14" t="str">
        <x:v>6202</x:v>
      </x:c>
      <x:c r="G88" s="14" t="str">
        <x:v>62</x:v>
      </x:c>
      <x:c r="H88" s="14" t="str">
        <x:v>SOURCE_SECONDAIRE_A_VALIDER</x:v>
      </x:c>
      <x:c r="I88" s="14" t="str">
        <x:v>S05</x:v>
      </x:c>
      <x:c r="J88" s="14" t="str">
        <x:v>PCode conservé comme valeur de travail; validation officielle requise.</x:v>
      </x:c>
      <x:c r="K88" s="14" t="str">
        <x:v>2026-09-13</x:v>
      </x:c>
    </x:row>
    <x:row r="89">
      <x:c r="A89" s="14" t="n">
        <x:v>86</x:v>
      </x:c>
      <x:c r="B89" s="14" t="n">
        <x:v>16</x:v>
      </x:c>
      <x:c r="C89" s="14" t="str">
        <x:v>Sud-Kivu</x:v>
      </x:c>
      <x:c r="D89" s="14" t="str">
        <x:v>Kalehe</x:v>
      </x:c>
      <x:c r="E89" s="14" t="str">
        <x:v>COD-P16-T04</x:v>
      </x:c>
      <x:c r="F89" s="14" t="str">
        <x:v>6205</x:v>
      </x:c>
      <x:c r="G89" s="14" t="str">
        <x:v>62</x:v>
      </x:c>
      <x:c r="H89" s="14" t="str">
        <x:v>SOURCE_SECONDAIRE_A_VALIDER</x:v>
      </x:c>
      <x:c r="I89" s="14" t="str">
        <x:v>S05</x:v>
      </x:c>
      <x:c r="J89" s="14" t="str">
        <x:v>PCode conservé comme valeur de travail; validation officielle requise.</x:v>
      </x:c>
      <x:c r="K89" s="14" t="str">
        <x:v>2026-09-13</x:v>
      </x:c>
    </x:row>
    <x:row r="90">
      <x:c r="A90" s="14" t="n">
        <x:v>87</x:v>
      </x:c>
      <x:c r="B90" s="14" t="n">
        <x:v>16</x:v>
      </x:c>
      <x:c r="C90" s="14" t="str">
        <x:v>Sud-Kivu</x:v>
      </x:c>
      <x:c r="D90" s="14" t="str">
        <x:v>Mwenga</x:v>
      </x:c>
      <x:c r="E90" s="14" t="str">
        <x:v>COD-P16-T05</x:v>
      </x:c>
      <x:c r="F90" s="14" t="str">
        <x:v>6212</x:v>
      </x:c>
      <x:c r="G90" s="14" t="str">
        <x:v>62</x:v>
      </x:c>
      <x:c r="H90" s="14" t="str">
        <x:v>SOURCE_SECONDAIRE_A_VALIDER</x:v>
      </x:c>
      <x:c r="I90" s="14" t="str">
        <x:v>S05</x:v>
      </x:c>
      <x:c r="J90" s="14" t="str">
        <x:v>PCode conservé comme valeur de travail; validation officielle requise.</x:v>
      </x:c>
      <x:c r="K90" s="14" t="str">
        <x:v>2026-09-13</x:v>
      </x:c>
    </x:row>
    <x:row r="91">
      <x:c r="A91" s="14" t="n">
        <x:v>88</x:v>
      </x:c>
      <x:c r="B91" s="14" t="n">
        <x:v>16</x:v>
      </x:c>
      <x:c r="C91" s="14" t="str">
        <x:v>Sud-Kivu</x:v>
      </x:c>
      <x:c r="D91" s="14" t="str">
        <x:v>Shabunda</x:v>
      </x:c>
      <x:c r="E91" s="14" t="str">
        <x:v>COD-P16-T06</x:v>
      </x:c>
      <x:c r="F91" s="14" t="str">
        <x:v>6204</x:v>
      </x:c>
      <x:c r="G91" s="14" t="str">
        <x:v>62</x:v>
      </x:c>
      <x:c r="H91" s="14" t="str">
        <x:v>SOURCE_SECONDAIRE_A_VALIDER</x:v>
      </x:c>
      <x:c r="I91" s="14" t="str">
        <x:v>S05</x:v>
      </x:c>
      <x:c r="J91" s="14" t="str">
        <x:v>PCode conservé comme valeur de travail; validation officielle requise.</x:v>
      </x:c>
      <x:c r="K91" s="14" t="str">
        <x:v>2026-09-13</x:v>
      </x:c>
    </x:row>
    <x:row r="92">
      <x:c r="A92" s="14" t="n">
        <x:v>89</x:v>
      </x:c>
      <x:c r="B92" s="14" t="n">
        <x:v>16</x:v>
      </x:c>
      <x:c r="C92" s="14" t="str">
        <x:v>Sud-Kivu</x:v>
      </x:c>
      <x:c r="D92" s="14" t="str">
        <x:v>Uvira</x:v>
      </x:c>
      <x:c r="E92" s="14" t="str">
        <x:v>COD-P16-T07</x:v>
      </x:c>
      <x:c r="F92" s="14" t="str">
        <x:v>6209</x:v>
      </x:c>
      <x:c r="G92" s="14" t="str">
        <x:v>62</x:v>
      </x:c>
      <x:c r="H92" s="14" t="str">
        <x:v>SOURCE_SECONDAIRE_A_VALIDER</x:v>
      </x:c>
      <x:c r="I92" s="14" t="str">
        <x:v>S05</x:v>
      </x:c>
      <x:c r="J92" s="14" t="str">
        <x:v>PCode conservé comme valeur de travail; validation officielle requise.</x:v>
      </x:c>
      <x:c r="K92" s="14" t="str">
        <x:v>2026-09-13</x:v>
      </x:c>
    </x:row>
    <x:row r="93">
      <x:c r="A93" s="14" t="n">
        <x:v>90</x:v>
      </x:c>
      <x:c r="B93" s="14" t="n">
        <x:v>16</x:v>
      </x:c>
      <x:c r="C93" s="14" t="str">
        <x:v>Sud-Kivu</x:v>
      </x:c>
      <x:c r="D93" s="14" t="str">
        <x:v>Walungu</x:v>
      </x:c>
      <x:c r="E93" s="14" t="str">
        <x:v>COD-P16-T08</x:v>
      </x:c>
      <x:c r="F93" s="14" t="str">
        <x:v>6207</x:v>
      </x:c>
      <x:c r="G93" s="14" t="str">
        <x:v>62</x:v>
      </x:c>
      <x:c r="H93" s="14" t="str">
        <x:v>SOURCE_SECONDAIRE_A_VALIDER</x:v>
      </x:c>
      <x:c r="I93" s="14" t="str">
        <x:v>S05</x:v>
      </x:c>
      <x:c r="J93" s="14" t="str">
        <x:v>PCode conservé comme valeur de travail; validation officielle requise.</x:v>
      </x:c>
      <x:c r="K93" s="14" t="str">
        <x:v>2026-09-13</x:v>
      </x:c>
    </x:row>
    <x:row r="94">
      <x:c r="A94" s="14" t="n">
        <x:v>91</x:v>
      </x:c>
      <x:c r="B94" s="14" t="n">
        <x:v>17</x:v>
      </x:c>
      <x:c r="C94" s="14" t="str">
        <x:v>Maniema</x:v>
      </x:c>
      <x:c r="D94" s="14" t="str">
        <x:v>Kabambare</x:v>
      </x:c>
      <x:c r="E94" s="14" t="str">
        <x:v>COD-P17-T01</x:v>
      </x:c>
      <x:c r="F94" s="14" t="str">
        <x:v>6309</x:v>
      </x:c>
      <x:c r="G94" s="14" t="str">
        <x:v>63</x:v>
      </x:c>
      <x:c r="H94" s="14" t="str">
        <x:v>SOURCE_SECONDAIRE_A_VALIDER</x:v>
      </x:c>
      <x:c r="I94" s="14" t="str">
        <x:v>S05</x:v>
      </x:c>
      <x:c r="J94" s="14" t="str">
        <x:v>PCode conservé comme valeur de travail; validation officielle requise.</x:v>
      </x:c>
      <x:c r="K94" s="14" t="str">
        <x:v>2026-09-13</x:v>
      </x:c>
    </x:row>
    <x:row r="95">
      <x:c r="A95" s="14" t="n">
        <x:v>92</x:v>
      </x:c>
      <x:c r="B95" s="14" t="n">
        <x:v>17</x:v>
      </x:c>
      <x:c r="C95" s="14" t="str">
        <x:v>Maniema</x:v>
      </x:c>
      <x:c r="D95" s="14" t="str">
        <x:v>Kailo</x:v>
      </x:c>
      <x:c r="E95" s="14" t="str">
        <x:v>COD-P17-T02</x:v>
      </x:c>
      <x:c r="F95" s="14" t="str">
        <x:v>6302</x:v>
      </x:c>
      <x:c r="G95" s="14" t="str">
        <x:v>63</x:v>
      </x:c>
      <x:c r="H95" s="14" t="str">
        <x:v>SOURCE_SECONDAIRE_A_VALIDER</x:v>
      </x:c>
      <x:c r="I95" s="14" t="str">
        <x:v>S05</x:v>
      </x:c>
      <x:c r="J95" s="14" t="str">
        <x:v>PCode conservé comme valeur de travail; validation officielle requise.</x:v>
      </x:c>
      <x:c r="K95" s="14" t="str">
        <x:v>2026-09-13</x:v>
      </x:c>
    </x:row>
    <x:row r="96">
      <x:c r="A96" s="14" t="n">
        <x:v>93</x:v>
      </x:c>
      <x:c r="B96" s="14" t="n">
        <x:v>17</x:v>
      </x:c>
      <x:c r="C96" s="14" t="str">
        <x:v>Maniema</x:v>
      </x:c>
      <x:c r="D96" s="14" t="str">
        <x:v>Kasongo</x:v>
      </x:c>
      <x:c r="E96" s="14" t="str">
        <x:v>COD-P17-T03</x:v>
      </x:c>
      <x:c r="F96" s="14" t="str">
        <x:v>6312</x:v>
      </x:c>
      <x:c r="G96" s="14" t="str">
        <x:v>63</x:v>
      </x:c>
      <x:c r="H96" s="14" t="str">
        <x:v>SOURCE_SECONDAIRE_A_VALIDER</x:v>
      </x:c>
      <x:c r="I96" s="14" t="str">
        <x:v>S05</x:v>
      </x:c>
      <x:c r="J96" s="14" t="str">
        <x:v>PCode conservé comme valeur de travail; validation officielle requise.</x:v>
      </x:c>
      <x:c r="K96" s="14" t="str">
        <x:v>2026-09-13</x:v>
      </x:c>
    </x:row>
    <x:row r="97">
      <x:c r="A97" s="14" t="n">
        <x:v>94</x:v>
      </x:c>
      <x:c r="B97" s="14" t="n">
        <x:v>17</x:v>
      </x:c>
      <x:c r="C97" s="14" t="str">
        <x:v>Maniema</x:v>
      </x:c>
      <x:c r="D97" s="14" t="str">
        <x:v>Kibombo</x:v>
      </x:c>
      <x:c r="E97" s="14" t="str">
        <x:v>COD-P17-T04</x:v>
      </x:c>
      <x:c r="F97" s="14" t="str">
        <x:v>6313</x:v>
      </x:c>
      <x:c r="G97" s="14" t="str">
        <x:v>63</x:v>
      </x:c>
      <x:c r="H97" s="14" t="str">
        <x:v>SOURCE_SECONDAIRE_A_VALIDER</x:v>
      </x:c>
      <x:c r="I97" s="14" t="str">
        <x:v>S05</x:v>
      </x:c>
      <x:c r="J97" s="14" t="str">
        <x:v>PCode conservé comme valeur de travail; validation officielle requise.</x:v>
      </x:c>
      <x:c r="K97" s="14" t="str">
        <x:v>2026-09-13</x:v>
      </x:c>
    </x:row>
    <x:row r="98">
      <x:c r="A98" s="14" t="n">
        <x:v>95</x:v>
      </x:c>
      <x:c r="B98" s="14" t="n">
        <x:v>17</x:v>
      </x:c>
      <x:c r="C98" s="14" t="str">
        <x:v>Maniema</x:v>
      </x:c>
      <x:c r="D98" s="14" t="str">
        <x:v>Lubutu</x:v>
      </x:c>
      <x:c r="E98" s="14" t="str">
        <x:v>COD-P17-T05</x:v>
      </x:c>
      <x:c r="F98" s="14" t="str">
        <x:v>6306</x:v>
      </x:c>
      <x:c r="G98" s="14" t="str">
        <x:v>63</x:v>
      </x:c>
      <x:c r="H98" s="14" t="str">
        <x:v>SOURCE_SECONDAIRE_A_VALIDER</x:v>
      </x:c>
      <x:c r="I98" s="14" t="str">
        <x:v>S05</x:v>
      </x:c>
      <x:c r="J98" s="14" t="str">
        <x:v>PCode conservé comme valeur de travail; validation officielle requise.</x:v>
      </x:c>
      <x:c r="K98" s="14" t="str">
        <x:v>2026-09-13</x:v>
      </x:c>
    </x:row>
    <x:row r="99">
      <x:c r="A99" s="14" t="n">
        <x:v>96</x:v>
      </x:c>
      <x:c r="B99" s="14" t="n">
        <x:v>17</x:v>
      </x:c>
      <x:c r="C99" s="14" t="str">
        <x:v>Maniema</x:v>
      </x:c>
      <x:c r="D99" s="14" t="str">
        <x:v>Pangi</x:v>
      </x:c>
      <x:c r="E99" s="14" t="str">
        <x:v>COD-P17-T06</x:v>
      </x:c>
      <x:c r="F99" s="14" t="str">
        <x:v>6307</x:v>
      </x:c>
      <x:c r="G99" s="14" t="str">
        <x:v>63</x:v>
      </x:c>
      <x:c r="H99" s="14" t="str">
        <x:v>SOURCE_SECONDAIRE_A_VALIDER</x:v>
      </x:c>
      <x:c r="I99" s="14" t="str">
        <x:v>S05</x:v>
      </x:c>
      <x:c r="J99" s="14" t="str">
        <x:v>PCode conservé comme valeur de travail; validation officielle requise.</x:v>
      </x:c>
      <x:c r="K99" s="14" t="str">
        <x:v>2026-09-13</x:v>
      </x:c>
    </x:row>
    <x:row r="100">
      <x:c r="A100" s="14" t="n">
        <x:v>97</x:v>
      </x:c>
      <x:c r="B100" s="14" t="n">
        <x:v>17</x:v>
      </x:c>
      <x:c r="C100" s="14" t="str">
        <x:v>Maniema</x:v>
      </x:c>
      <x:c r="D100" s="14" t="str">
        <x:v>Punia</x:v>
      </x:c>
      <x:c r="E100" s="14" t="str">
        <x:v>COD-P17-T07</x:v>
      </x:c>
      <x:c r="F100" s="14" t="str">
        <x:v>6304</x:v>
      </x:c>
      <x:c r="G100" s="14" t="str">
        <x:v>63</x:v>
      </x:c>
      <x:c r="H100" s="14" t="str">
        <x:v>SOURCE_SECONDAIRE_A_VALIDER</x:v>
      </x:c>
      <x:c r="I100" s="14" t="str">
        <x:v>S05</x:v>
      </x:c>
      <x:c r="J100" s="14" t="str">
        <x:v>PCode conservé comme valeur de travail; validation officielle requise.</x:v>
      </x:c>
      <x:c r="K100" s="14" t="str">
        <x:v>2026-09-13</x:v>
      </x:c>
    </x:row>
    <x:row r="101">
      <x:c r="A101" s="14" t="n">
        <x:v>98</x:v>
      </x:c>
      <x:c r="B101" s="14" t="n">
        <x:v>18</x:v>
      </x:c>
      <x:c r="C101" s="14" t="str">
        <x:v>Haut-Katanga</x:v>
      </x:c>
      <x:c r="D101" s="14" t="str">
        <x:v>Kambove</x:v>
      </x:c>
      <x:c r="E101" s="14" t="str">
        <x:v>COD-P18-T01</x:v>
      </x:c>
      <x:c r="F101" s="14" t="str">
        <x:v>7105</x:v>
      </x:c>
      <x:c r="G101" s="14" t="str">
        <x:v>71</x:v>
      </x:c>
      <x:c r="H101" s="14" t="str">
        <x:v>SOURCE_SECONDAIRE_A_VALIDER</x:v>
      </x:c>
      <x:c r="I101" s="14" t="str">
        <x:v>S05</x:v>
      </x:c>
      <x:c r="J101" s="14" t="str">
        <x:v>PCode conservé comme valeur de travail; validation officielle requise.</x:v>
      </x:c>
      <x:c r="K101" s="14" t="str">
        <x:v>2026-09-13</x:v>
      </x:c>
    </x:row>
    <x:row r="102">
      <x:c r="A102" s="14" t="n">
        <x:v>99</x:v>
      </x:c>
      <x:c r="B102" s="14" t="n">
        <x:v>18</x:v>
      </x:c>
      <x:c r="C102" s="14" t="str">
        <x:v>Haut-Katanga</x:v>
      </x:c>
      <x:c r="D102" s="14" t="str">
        <x:v>Kasenga</x:v>
      </x:c>
      <x:c r="E102" s="14" t="str">
        <x:v>COD-P18-T02</x:v>
      </x:c>
      <x:c r="F102" s="14" t="str">
        <x:v>7107</x:v>
      </x:c>
      <x:c r="G102" s="14" t="str">
        <x:v>71</x:v>
      </x:c>
      <x:c r="H102" s="14" t="str">
        <x:v>SOURCE_SECONDAIRE_A_VALIDER</x:v>
      </x:c>
      <x:c r="I102" s="14" t="str">
        <x:v>S05</x:v>
      </x:c>
      <x:c r="J102" s="14" t="str">
        <x:v>PCode conservé comme valeur de travail; validation officielle requise.</x:v>
      </x:c>
      <x:c r="K102" s="14" t="str">
        <x:v>2026-09-13</x:v>
      </x:c>
    </x:row>
    <x:row r="103">
      <x:c r="A103" s="14" t="n">
        <x:v>100</x:v>
      </x:c>
      <x:c r="B103" s="14" t="n">
        <x:v>18</x:v>
      </x:c>
      <x:c r="C103" s="14" t="str">
        <x:v>Haut-Katanga</x:v>
      </x:c>
      <x:c r="D103" s="14" t="str">
        <x:v>Kipushi</x:v>
      </x:c>
      <x:c r="E103" s="14" t="str">
        <x:v>COD-P18-T03</x:v>
      </x:c>
      <x:c r="F103" s="14" t="str">
        <x:v>7103</x:v>
      </x:c>
      <x:c r="G103" s="14" t="str">
        <x:v>71</x:v>
      </x:c>
      <x:c r="H103" s="14" t="str">
        <x:v>SOURCE_SECONDAIRE_A_VALIDER</x:v>
      </x:c>
      <x:c r="I103" s="14" t="str">
        <x:v>S05</x:v>
      </x:c>
      <x:c r="J103" s="14" t="str">
        <x:v>PCode conservé comme valeur de travail; validation officielle requise.</x:v>
      </x:c>
      <x:c r="K103" s="14" t="str">
        <x:v>2026-09-13</x:v>
      </x:c>
    </x:row>
    <x:row r="104">
      <x:c r="A104" s="14" t="n">
        <x:v>101</x:v>
      </x:c>
      <x:c r="B104" s="14" t="n">
        <x:v>18</x:v>
      </x:c>
      <x:c r="C104" s="14" t="str">
        <x:v>Haut-Katanga</x:v>
      </x:c>
      <x:c r="D104" s="14" t="str">
        <x:v>Mitwaba</x:v>
      </x:c>
      <x:c r="E104" s="14" t="str">
        <x:v>COD-P18-T04</x:v>
      </x:c>
      <x:c r="F104" s="14" t="str">
        <x:v>7108</x:v>
      </x:c>
      <x:c r="G104" s="14" t="str">
        <x:v>71</x:v>
      </x:c>
      <x:c r="H104" s="14" t="str">
        <x:v>SOURCE_SECONDAIRE_A_VALIDER</x:v>
      </x:c>
      <x:c r="I104" s="14" t="str">
        <x:v>S05</x:v>
      </x:c>
      <x:c r="J104" s="14" t="str">
        <x:v>PCode conservé comme valeur de travail; validation officielle requise.</x:v>
      </x:c>
      <x:c r="K104" s="14" t="str">
        <x:v>2026-09-13</x:v>
      </x:c>
    </x:row>
    <x:row r="105">
      <x:c r="A105" s="14" t="n">
        <x:v>102</x:v>
      </x:c>
      <x:c r="B105" s="14" t="n">
        <x:v>18</x:v>
      </x:c>
      <x:c r="C105" s="14" t="str">
        <x:v>Haut-Katanga</x:v>
      </x:c>
      <x:c r="D105" s="14" t="str">
        <x:v>Pweto</x:v>
      </x:c>
      <x:c r="E105" s="14" t="str">
        <x:v>COD-P18-T05</x:v>
      </x:c>
      <x:c r="F105" s="14" t="str">
        <x:v>7109</x:v>
      </x:c>
      <x:c r="G105" s="14" t="str">
        <x:v>71</x:v>
      </x:c>
      <x:c r="H105" s="14" t="str">
        <x:v>SOURCE_SECONDAIRE_A_VALIDER</x:v>
      </x:c>
      <x:c r="I105" s="14" t="str">
        <x:v>S05</x:v>
      </x:c>
      <x:c r="J105" s="14" t="str">
        <x:v>PCode conservé comme valeur de travail; validation officielle requise.</x:v>
      </x:c>
      <x:c r="K105" s="14" t="str">
        <x:v>2026-09-13</x:v>
      </x:c>
    </x:row>
    <x:row r="106">
      <x:c r="A106" s="14" t="n">
        <x:v>103</x:v>
      </x:c>
      <x:c r="B106" s="14" t="n">
        <x:v>18</x:v>
      </x:c>
      <x:c r="C106" s="14" t="str">
        <x:v>Haut-Katanga</x:v>
      </x:c>
      <x:c r="D106" s="14" t="str">
        <x:v>Sakania</x:v>
      </x:c>
      <x:c r="E106" s="14" t="str">
        <x:v>COD-P18-T06</x:v>
      </x:c>
      <x:c r="F106" s="14" t="str">
        <x:v>7104</x:v>
      </x:c>
      <x:c r="G106" s="14" t="str">
        <x:v>71</x:v>
      </x:c>
      <x:c r="H106" s="14" t="str">
        <x:v>SOURCE_SECONDAIRE_A_VALIDER</x:v>
      </x:c>
      <x:c r="I106" s="14" t="str">
        <x:v>S05</x:v>
      </x:c>
      <x:c r="J106" s="14" t="str">
        <x:v>PCode conservé comme valeur de travail; validation officielle requise.</x:v>
      </x:c>
      <x:c r="K106" s="14" t="str">
        <x:v>2026-09-13</x:v>
      </x:c>
    </x:row>
    <x:row r="107">
      <x:c r="A107" s="14" t="n">
        <x:v>104</x:v>
      </x:c>
      <x:c r="B107" s="14" t="n">
        <x:v>19</x:v>
      </x:c>
      <x:c r="C107" s="14" t="str">
        <x:v>Lualaba</x:v>
      </x:c>
      <x:c r="D107" s="14" t="str">
        <x:v>Dilolo</x:v>
      </x:c>
      <x:c r="E107" s="14" t="str">
        <x:v>COD-P19-T01</x:v>
      </x:c>
      <x:c r="F107" s="14" t="str">
        <x:v>7205</x:v>
      </x:c>
      <x:c r="G107" s="14" t="str">
        <x:v>72</x:v>
      </x:c>
      <x:c r="H107" s="14" t="str">
        <x:v>SOURCE_SECONDAIRE_A_VALIDER</x:v>
      </x:c>
      <x:c r="I107" s="14" t="str">
        <x:v>S05</x:v>
      </x:c>
      <x:c r="J107" s="14" t="str">
        <x:v>PCode conservé comme valeur de travail; validation officielle requise.</x:v>
      </x:c>
      <x:c r="K107" s="14" t="str">
        <x:v>2026-09-13</x:v>
      </x:c>
    </x:row>
    <x:row r="108">
      <x:c r="A108" s="14" t="n">
        <x:v>105</x:v>
      </x:c>
      <x:c r="B108" s="14" t="n">
        <x:v>19</x:v>
      </x:c>
      <x:c r="C108" s="14" t="str">
        <x:v>Lualaba</x:v>
      </x:c>
      <x:c r="D108" s="14" t="str">
        <x:v>Kapanga</x:v>
      </x:c>
      <x:c r="E108" s="14" t="str">
        <x:v>COD-P19-T02</x:v>
      </x:c>
      <x:c r="F108" s="14" t="str">
        <x:v>7207</x:v>
      </x:c>
      <x:c r="G108" s="14" t="str">
        <x:v>72</x:v>
      </x:c>
      <x:c r="H108" s="14" t="str">
        <x:v>SOURCE_SECONDAIRE_A_VALIDER</x:v>
      </x:c>
      <x:c r="I108" s="14" t="str">
        <x:v>S05</x:v>
      </x:c>
      <x:c r="J108" s="14" t="str">
        <x:v>PCode conservé comme valeur de travail; validation officielle requise.</x:v>
      </x:c>
      <x:c r="K108" s="14" t="str">
        <x:v>2026-09-13</x:v>
      </x:c>
    </x:row>
    <x:row r="109">
      <x:c r="A109" s="14" t="n">
        <x:v>106</x:v>
      </x:c>
      <x:c r="B109" s="14" t="n">
        <x:v>19</x:v>
      </x:c>
      <x:c r="C109" s="14" t="str">
        <x:v>Lualaba</x:v>
      </x:c>
      <x:c r="D109" s="14" t="str">
        <x:v>Lubudi</x:v>
      </x:c>
      <x:c r="E109" s="14" t="str">
        <x:v>COD-P19-T03</x:v>
      </x:c>
      <x:c r="F109" s="14" t="str">
        <x:v>7203</x:v>
      </x:c>
      <x:c r="G109" s="14" t="str">
        <x:v>72</x:v>
      </x:c>
      <x:c r="H109" s="14" t="str">
        <x:v>SOURCE_SECONDAIRE_A_VALIDER</x:v>
      </x:c>
      <x:c r="I109" s="14" t="str">
        <x:v>S05</x:v>
      </x:c>
      <x:c r="J109" s="14" t="str">
        <x:v>PCode conservé comme valeur de travail; validation officielle requise.</x:v>
      </x:c>
      <x:c r="K109" s="14" t="str">
        <x:v>2026-09-13</x:v>
      </x:c>
    </x:row>
    <x:row r="110">
      <x:c r="A110" s="14" t="n">
        <x:v>107</x:v>
      </x:c>
      <x:c r="B110" s="14" t="n">
        <x:v>19</x:v>
      </x:c>
      <x:c r="C110" s="14" t="str">
        <x:v>Lualaba</x:v>
      </x:c>
      <x:c r="D110" s="14" t="str">
        <x:v>Mutshatsha</x:v>
      </x:c>
      <x:c r="E110" s="14" t="str">
        <x:v>COD-P19-T04</x:v>
      </x:c>
      <x:c r="F110" s="14" t="str">
        <x:v>7202</x:v>
      </x:c>
      <x:c r="G110" s="14" t="str">
        <x:v>72</x:v>
      </x:c>
      <x:c r="H110" s="14" t="str">
        <x:v>SOURCE_SECONDAIRE_A_VALIDER</x:v>
      </x:c>
      <x:c r="I110" s="14" t="str">
        <x:v>S05</x:v>
      </x:c>
      <x:c r="J110" s="14" t="str">
        <x:v>PCode conservé comme valeur de travail; validation officielle requise.</x:v>
      </x:c>
      <x:c r="K110" s="14" t="str">
        <x:v>2026-09-13</x:v>
      </x:c>
    </x:row>
    <x:row r="111">
      <x:c r="A111" s="14" t="n">
        <x:v>108</x:v>
      </x:c>
      <x:c r="B111" s="14" t="n">
        <x:v>19</x:v>
      </x:c>
      <x:c r="C111" s="14" t="str">
        <x:v>Lualaba</x:v>
      </x:c>
      <x:c r="D111" s="14" t="str">
        <x:v>Sandoa</x:v>
      </x:c>
      <x:c r="E111" s="14" t="str">
        <x:v>COD-P19-T05</x:v>
      </x:c>
      <x:c r="F111" s="14" t="str">
        <x:v>7206</x:v>
      </x:c>
      <x:c r="G111" s="14" t="str">
        <x:v>72</x:v>
      </x:c>
      <x:c r="H111" s="14" t="str">
        <x:v>SOURCE_SECONDAIRE_A_VALIDER</x:v>
      </x:c>
      <x:c r="I111" s="14" t="str">
        <x:v>S05</x:v>
      </x:c>
      <x:c r="J111" s="14" t="str">
        <x:v>PCode conservé comme valeur de travail; validation officielle requise.</x:v>
      </x:c>
      <x:c r="K111" s="14" t="str">
        <x:v>2026-09-13</x:v>
      </x:c>
    </x:row>
    <x:row r="112">
      <x:c r="A112" s="14" t="n">
        <x:v>109</x:v>
      </x:c>
      <x:c r="B112" s="14" t="n">
        <x:v>20</x:v>
      </x:c>
      <x:c r="C112" s="14" t="str">
        <x:v>Haut-Lomami</x:v>
      </x:c>
      <x:c r="D112" s="14" t="str">
        <x:v>Bukama</x:v>
      </x:c>
      <x:c r="E112" s="14" t="str">
        <x:v>COD-P20-T01</x:v>
      </x:c>
      <x:c r="F112" s="14" t="str">
        <x:v>7306</x:v>
      </x:c>
      <x:c r="G112" s="14" t="str">
        <x:v>73</x:v>
      </x:c>
      <x:c r="H112" s="14" t="str">
        <x:v>SOURCE_SECONDAIRE_A_VALIDER</x:v>
      </x:c>
      <x:c r="I112" s="14" t="str">
        <x:v>S05</x:v>
      </x:c>
      <x:c r="J112" s="14" t="str">
        <x:v>PCode conservé comme valeur de travail; validation officielle requise.</x:v>
      </x:c>
      <x:c r="K112" s="14" t="str">
        <x:v>2026-09-13</x:v>
      </x:c>
    </x:row>
    <x:row r="113">
      <x:c r="A113" s="14" t="n">
        <x:v>110</x:v>
      </x:c>
      <x:c r="B113" s="14" t="n">
        <x:v>20</x:v>
      </x:c>
      <x:c r="C113" s="14" t="str">
        <x:v>Haut-Lomami</x:v>
      </x:c>
      <x:c r="D113" s="14" t="str">
        <x:v>Kabongo</x:v>
      </x:c>
      <x:c r="E113" s="14" t="str">
        <x:v>COD-P20-T02</x:v>
      </x:c>
      <x:c r="F113" s="14" t="str">
        <x:v>7304</x:v>
      </x:c>
      <x:c r="G113" s="14" t="str">
        <x:v>73</x:v>
      </x:c>
      <x:c r="H113" s="14" t="str">
        <x:v>SOURCE_SECONDAIRE_A_VALIDER</x:v>
      </x:c>
      <x:c r="I113" s="14" t="str">
        <x:v>S05</x:v>
      </x:c>
      <x:c r="J113" s="14" t="str">
        <x:v>PCode conservé comme valeur de travail; validation officielle requise.</x:v>
      </x:c>
      <x:c r="K113" s="14" t="str">
        <x:v>2026-09-13</x:v>
      </x:c>
    </x:row>
    <x:row r="114">
      <x:c r="A114" s="14" t="n">
        <x:v>111</x:v>
      </x:c>
      <x:c r="B114" s="14" t="n">
        <x:v>20</x:v>
      </x:c>
      <x:c r="C114" s="14" t="str">
        <x:v>Haut-Lomami</x:v>
      </x:c>
      <x:c r="D114" s="14" t="str">
        <x:v>Kamina</x:v>
      </x:c>
      <x:c r="E114" s="14" t="str">
        <x:v>COD-P20-T03</x:v>
      </x:c>
      <x:c r="F114" s="14" t="str">
        <x:v>7302</x:v>
      </x:c>
      <x:c r="G114" s="14" t="str">
        <x:v>73</x:v>
      </x:c>
      <x:c r="H114" s="14" t="str">
        <x:v>SOURCE_SECONDAIRE_A_VALIDER</x:v>
      </x:c>
      <x:c r="I114" s="14" t="str">
        <x:v>S05</x:v>
      </x:c>
      <x:c r="J114" s="14" t="str">
        <x:v>PCode conservé comme valeur de travail; validation officielle requise.</x:v>
      </x:c>
      <x:c r="K114" s="14" t="str">
        <x:v>2026-09-13</x:v>
      </x:c>
    </x:row>
    <x:row r="115">
      <x:c r="A115" s="14" t="n">
        <x:v>112</x:v>
      </x:c>
      <x:c r="B115" s="14" t="n">
        <x:v>20</x:v>
      </x:c>
      <x:c r="C115" s="14" t="str">
        <x:v>Haut-Lomami</x:v>
      </x:c>
      <x:c r="D115" s="14" t="str">
        <x:v>Kaniama</x:v>
      </x:c>
      <x:c r="E115" s="14" t="str">
        <x:v>COD-P20-T04</x:v>
      </x:c>
      <x:c r="F115" s="14" t="str">
        <x:v>7303</x:v>
      </x:c>
      <x:c r="G115" s="14" t="str">
        <x:v>73</x:v>
      </x:c>
      <x:c r="H115" s="14" t="str">
        <x:v>SOURCE_SECONDAIRE_A_VALIDER</x:v>
      </x:c>
      <x:c r="I115" s="14" t="str">
        <x:v>S05</x:v>
      </x:c>
      <x:c r="J115" s="14" t="str">
        <x:v>PCode conservé comme valeur de travail; validation officielle requise.</x:v>
      </x:c>
      <x:c r="K115" s="14" t="str">
        <x:v>2026-09-13</x:v>
      </x:c>
    </x:row>
    <x:row r="116">
      <x:c r="A116" s="14" t="n">
        <x:v>113</x:v>
      </x:c>
      <x:c r="B116" s="14" t="n">
        <x:v>20</x:v>
      </x:c>
      <x:c r="C116" s="14" t="str">
        <x:v>Haut-Lomami</x:v>
      </x:c>
      <x:c r="D116" s="14" t="str">
        <x:v>Malemba-Nkulu</x:v>
      </x:c>
      <x:c r="E116" s="14" t="str">
        <x:v>COD-P20-T05</x:v>
      </x:c>
      <x:c r="F116" s="14" t="str">
        <x:v>7305</x:v>
      </x:c>
      <x:c r="G116" s="14" t="str">
        <x:v>73</x:v>
      </x:c>
      <x:c r="H116" s="14" t="str">
        <x:v>SOURCE_SECONDAIRE_A_VALIDER</x:v>
      </x:c>
      <x:c r="I116" s="14" t="str">
        <x:v>S05</x:v>
      </x:c>
      <x:c r="J116" s="14" t="str">
        <x:v>PCode conservé comme valeur de travail; validation officielle requise.</x:v>
      </x:c>
      <x:c r="K116" s="14" t="str">
        <x:v>2026-09-13</x:v>
      </x:c>
    </x:row>
    <x:row r="117">
      <x:c r="A117" s="14" t="n">
        <x:v>114</x:v>
      </x:c>
      <x:c r="B117" s="14" t="n">
        <x:v>21</x:v>
      </x:c>
      <x:c r="C117" s="14" t="str">
        <x:v>Tanganyika</x:v>
      </x:c>
      <x:c r="D117" s="14" t="str">
        <x:v>Kabalo</x:v>
      </x:c>
      <x:c r="E117" s="14" t="str">
        <x:v>COD-P21-T01</x:v>
      </x:c>
      <x:c r="F117" s="14" t="str">
        <x:v>7407</x:v>
      </x:c>
      <x:c r="G117" s="14" t="str">
        <x:v>74</x:v>
      </x:c>
      <x:c r="H117" s="14" t="str">
        <x:v>SOURCE_SECONDAIRE_A_VALIDER</x:v>
      </x:c>
      <x:c r="I117" s="14" t="str">
        <x:v>S05</x:v>
      </x:c>
      <x:c r="J117" s="14" t="str">
        <x:v>PCode conservé comme valeur de travail; validation officielle requise.</x:v>
      </x:c>
      <x:c r="K117" s="14" t="str">
        <x:v>2026-09-13</x:v>
      </x:c>
    </x:row>
    <x:row r="118">
      <x:c r="A118" s="14" t="n">
        <x:v>115</x:v>
      </x:c>
      <x:c r="B118" s="14" t="n">
        <x:v>21</x:v>
      </x:c>
      <x:c r="C118" s="14" t="str">
        <x:v>Tanganyika</x:v>
      </x:c>
      <x:c r="D118" s="14" t="str">
        <x:v>Kalemie</x:v>
      </x:c>
      <x:c r="E118" s="14" t="str">
        <x:v>COD-P21-T02</x:v>
      </x:c>
      <x:c r="F118" s="14" t="str">
        <x:v>7402</x:v>
      </x:c>
      <x:c r="G118" s="14" t="str">
        <x:v>74</x:v>
      </x:c>
      <x:c r="H118" s="14" t="str">
        <x:v>SOURCE_SECONDAIRE_A_VALIDER</x:v>
      </x:c>
      <x:c r="I118" s="14" t="str">
        <x:v>S05</x:v>
      </x:c>
      <x:c r="J118" s="14" t="str">
        <x:v>PCode conservé comme valeur de travail; validation officielle requise.</x:v>
      </x:c>
      <x:c r="K118" s="14" t="str">
        <x:v>2026-09-13</x:v>
      </x:c>
    </x:row>
    <x:row r="119">
      <x:c r="A119" s="32" t="n">
        <x:v>116</x:v>
      </x:c>
      <x:c r="B119" s="32" t="n">
        <x:v>21</x:v>
      </x:c>
      <x:c r="C119" s="32" t="str">
        <x:v>Tanganyika</x:v>
      </x:c>
      <x:c r="D119" s="32" t="str">
        <x:v>Kongolo</x:v>
      </x:c>
      <x:c r="E119" s="32" t="str">
        <x:v>COD-P21-T03</x:v>
      </x:c>
      <x:c r="F119" s="32" t="str">
        <x:v>9109</x:v>
      </x:c>
      <x:c r="G119" s="32" t="str">
        <x:v>74</x:v>
      </x:c>
      <x:c r="H119" s="32" t="str">
        <x:v>CONFLIT_A_VALIDER</x:v>
      </x:c>
      <x:c r="I119" s="32" t="str">
        <x:v>S05</x:v>
      </x:c>
      <x:c r="J119" s="32" t="str">
        <x:v>Préfixe du PCode brut incompatible avec la province; vérifier RGC/OCHA/CAID.</x:v>
      </x:c>
      <x:c r="K119" s="32" t="str">
        <x:v>2026-09-13</x:v>
      </x:c>
    </x:row>
    <x:row r="120">
      <x:c r="A120" s="14" t="n">
        <x:v>117</x:v>
      </x:c>
      <x:c r="B120" s="14" t="n">
        <x:v>21</x:v>
      </x:c>
      <x:c r="C120" s="14" t="str">
        <x:v>Tanganyika</x:v>
      </x:c>
      <x:c r="D120" s="14" t="str">
        <x:v>Manono</x:v>
      </x:c>
      <x:c r="E120" s="14" t="str">
        <x:v>COD-P21-T04</x:v>
      </x:c>
      <x:c r="F120" s="14" t="str">
        <x:v>7406</x:v>
      </x:c>
      <x:c r="G120" s="14" t="str">
        <x:v>74</x:v>
      </x:c>
      <x:c r="H120" s="14" t="str">
        <x:v>SOURCE_SECONDAIRE_A_VALIDER</x:v>
      </x:c>
      <x:c r="I120" s="14" t="str">
        <x:v>S05</x:v>
      </x:c>
      <x:c r="J120" s="14" t="str">
        <x:v>PCode conservé comme valeur de travail; validation officielle requise.</x:v>
      </x:c>
      <x:c r="K120" s="14" t="str">
        <x:v>2026-09-13</x:v>
      </x:c>
    </x:row>
    <x:row r="121">
      <x:c r="A121" s="14" t="n">
        <x:v>118</x:v>
      </x:c>
      <x:c r="B121" s="14" t="n">
        <x:v>21</x:v>
      </x:c>
      <x:c r="C121" s="14" t="str">
        <x:v>Tanganyika</x:v>
      </x:c>
      <x:c r="D121" s="14" t="str">
        <x:v>Moba</x:v>
      </x:c>
      <x:c r="E121" s="14" t="str">
        <x:v>COD-P21-T05</x:v>
      </x:c>
      <x:c r="F121" s="14" t="str">
        <x:v>7404</x:v>
      </x:c>
      <x:c r="G121" s="14" t="str">
        <x:v>74</x:v>
      </x:c>
      <x:c r="H121" s="14" t="str">
        <x:v>SOURCE_SECONDAIRE_A_VALIDER</x:v>
      </x:c>
      <x:c r="I121" s="14" t="str">
        <x:v>S05</x:v>
      </x:c>
      <x:c r="J121" s="14" t="str">
        <x:v>PCode conservé comme valeur de travail; validation officielle requise.</x:v>
      </x:c>
      <x:c r="K121" s="14" t="str">
        <x:v>2026-09-13</x:v>
      </x:c>
    </x:row>
    <x:row r="122">
      <x:c r="A122" s="14" t="n">
        <x:v>119</x:v>
      </x:c>
      <x:c r="B122" s="14" t="n">
        <x:v>21</x:v>
      </x:c>
      <x:c r="C122" s="14" t="str">
        <x:v>Tanganyika</x:v>
      </x:c>
      <x:c r="D122" s="14" t="str">
        <x:v>Nyunzu</x:v>
      </x:c>
      <x:c r="E122" s="14" t="str">
        <x:v>COD-P21-T06</x:v>
      </x:c>
      <x:c r="F122" s="14" t="str">
        <x:v>7410</x:v>
      </x:c>
      <x:c r="G122" s="14" t="str">
        <x:v>74</x:v>
      </x:c>
      <x:c r="H122" s="14" t="str">
        <x:v>SOURCE_SECONDAIRE_A_VALIDER</x:v>
      </x:c>
      <x:c r="I122" s="14" t="str">
        <x:v>S05</x:v>
      </x:c>
      <x:c r="J122" s="14" t="str">
        <x:v>PCode conservé comme valeur de travail; validation officielle requise.</x:v>
      </x:c>
      <x:c r="K122" s="14" t="str">
        <x:v>2026-09-13</x:v>
      </x:c>
    </x:row>
    <x:row r="123">
      <x:c r="A123" s="14" t="n">
        <x:v>120</x:v>
      </x:c>
      <x:c r="B123" s="14" t="n">
        <x:v>22</x:v>
      </x:c>
      <x:c r="C123" s="14" t="str">
        <x:v>Lomami</x:v>
      </x:c>
      <x:c r="D123" s="14" t="str">
        <x:v>Kabinda</x:v>
      </x:c>
      <x:c r="E123" s="14" t="str">
        <x:v>COD-P22-T01</x:v>
      </x:c>
      <x:c r="F123" s="14" t="str">
        <x:v>8102</x:v>
      </x:c>
      <x:c r="G123" s="14" t="str">
        <x:v>81</x:v>
      </x:c>
      <x:c r="H123" s="14" t="str">
        <x:v>SOURCE_SECONDAIRE_A_VALIDER</x:v>
      </x:c>
      <x:c r="I123" s="14" t="str">
        <x:v>S05</x:v>
      </x:c>
      <x:c r="J123" s="14" t="str">
        <x:v>PCode conservé comme valeur de travail; validation officielle requise.</x:v>
      </x:c>
      <x:c r="K123" s="14" t="str">
        <x:v>2026-09-13</x:v>
      </x:c>
    </x:row>
    <x:row r="124">
      <x:c r="A124" s="14" t="n">
        <x:v>121</x:v>
      </x:c>
      <x:c r="B124" s="14" t="n">
        <x:v>22</x:v>
      </x:c>
      <x:c r="C124" s="14" t="str">
        <x:v>Lomami</x:v>
      </x:c>
      <x:c r="D124" s="14" t="str">
        <x:v>Kamiji</x:v>
      </x:c>
      <x:c r="E124" s="14" t="str">
        <x:v>COD-P22-T02</x:v>
      </x:c>
      <x:c r="F124" s="14" t="str">
        <x:v>8105</x:v>
      </x:c>
      <x:c r="G124" s="14" t="str">
        <x:v>81</x:v>
      </x:c>
      <x:c r="H124" s="14" t="str">
        <x:v>SOURCE_SECONDAIRE_A_VALIDER</x:v>
      </x:c>
      <x:c r="I124" s="14" t="str">
        <x:v>S05</x:v>
      </x:c>
      <x:c r="J124" s="14" t="str">
        <x:v>PCode conservé comme valeur de travail; validation officielle requise.</x:v>
      </x:c>
      <x:c r="K124" s="14" t="str">
        <x:v>2026-09-13</x:v>
      </x:c>
    </x:row>
    <x:row r="125">
      <x:c r="A125" s="14" t="n">
        <x:v>122</x:v>
      </x:c>
      <x:c r="B125" s="14" t="n">
        <x:v>22</x:v>
      </x:c>
      <x:c r="C125" s="14" t="str">
        <x:v>Lomami</x:v>
      </x:c>
      <x:c r="D125" s="14" t="str">
        <x:v>Lubao</x:v>
      </x:c>
      <x:c r="E125" s="14" t="str">
        <x:v>COD-P22-T03</x:v>
      </x:c>
      <x:c r="F125" s="14" t="str">
        <x:v>8109</x:v>
      </x:c>
      <x:c r="G125" s="14" t="str">
        <x:v>81</x:v>
      </x:c>
      <x:c r="H125" s="14" t="str">
        <x:v>SOURCE_SECONDAIRE_A_VALIDER</x:v>
      </x:c>
      <x:c r="I125" s="14" t="str">
        <x:v>S05</x:v>
      </x:c>
      <x:c r="J125" s="14" t="str">
        <x:v>PCode conservé comme valeur de travail; validation officielle requise.</x:v>
      </x:c>
      <x:c r="K125" s="14" t="str">
        <x:v>2026-09-13</x:v>
      </x:c>
    </x:row>
    <x:row r="126">
      <x:c r="A126" s="14" t="n">
        <x:v>123</x:v>
      </x:c>
      <x:c r="B126" s="14" t="n">
        <x:v>22</x:v>
      </x:c>
      <x:c r="C126" s="14" t="str">
        <x:v>Lomami</x:v>
      </x:c>
      <x:c r="D126" s="14" t="str">
        <x:v>Luilu</x:v>
      </x:c>
      <x:c r="E126" s="14" t="str">
        <x:v>COD-P22-T04</x:v>
      </x:c>
      <x:c r="F126" s="14" t="str">
        <x:v>8104</x:v>
      </x:c>
      <x:c r="G126" s="14" t="str">
        <x:v>81</x:v>
      </x:c>
      <x:c r="H126" s="14" t="str">
        <x:v>SOURCE_SECONDAIRE_A_VALIDER</x:v>
      </x:c>
      <x:c r="I126" s="14" t="str">
        <x:v>S05</x:v>
      </x:c>
      <x:c r="J126" s="14" t="str">
        <x:v>PCode conservé comme valeur de travail; validation officielle requise.</x:v>
      </x:c>
      <x:c r="K126" s="14" t="str">
        <x:v>2026-09-13</x:v>
      </x:c>
    </x:row>
    <x:row r="127">
      <x:c r="A127" s="14" t="n">
        <x:v>124</x:v>
      </x:c>
      <x:c r="B127" s="14" t="n">
        <x:v>22</x:v>
      </x:c>
      <x:c r="C127" s="14" t="str">
        <x:v>Lomami</x:v>
      </x:c>
      <x:c r="D127" s="14" t="str">
        <x:v>Ngandajika</x:v>
      </x:c>
      <x:c r="E127" s="14" t="str">
        <x:v>COD-P22-T05</x:v>
      </x:c>
      <x:c r="F127" s="14" t="str">
        <x:v>8107</x:v>
      </x:c>
      <x:c r="G127" s="14" t="str">
        <x:v>81</x:v>
      </x:c>
      <x:c r="H127" s="14" t="str">
        <x:v>SOURCE_SECONDAIRE_A_VALIDER</x:v>
      </x:c>
      <x:c r="I127" s="14" t="str">
        <x:v>S05</x:v>
      </x:c>
      <x:c r="J127" s="14" t="str">
        <x:v>PCode conservé comme valeur de travail; validation officielle requise.</x:v>
      </x:c>
      <x:c r="K127" s="14" t="str">
        <x:v>2026-09-13</x:v>
      </x:c>
    </x:row>
    <x:row r="128">
      <x:c r="A128" s="14" t="n">
        <x:v>125</x:v>
      </x:c>
      <x:c r="B128" s="14" t="n">
        <x:v>23</x:v>
      </x:c>
      <x:c r="C128" s="14" t="str">
        <x:v>Kasaï-Oriental</x:v>
      </x:c>
      <x:c r="D128" s="14" t="str">
        <x:v>Kabeya-Kamwanga</x:v>
      </x:c>
      <x:c r="E128" s="14" t="str">
        <x:v>COD-P23-T01</x:v>
      </x:c>
      <x:c r="F128" s="14" t="str">
        <x:v>8207</x:v>
      </x:c>
      <x:c r="G128" s="14" t="str">
        <x:v>82</x:v>
      </x:c>
      <x:c r="H128" s="14" t="str">
        <x:v>SOURCE_SECONDAIRE_A_VALIDER</x:v>
      </x:c>
      <x:c r="I128" s="14" t="str">
        <x:v>S05</x:v>
      </x:c>
      <x:c r="J128" s="14" t="str">
        <x:v>PCode conservé comme valeur de travail; validation officielle requise.</x:v>
      </x:c>
      <x:c r="K128" s="14" t="str">
        <x:v>2026-09-13</x:v>
      </x:c>
    </x:row>
    <x:row r="129">
      <x:c r="A129" s="14" t="n">
        <x:v>126</x:v>
      </x:c>
      <x:c r="B129" s="14" t="n">
        <x:v>23</x:v>
      </x:c>
      <x:c r="C129" s="14" t="str">
        <x:v>Kasaï-Oriental</x:v>
      </x:c>
      <x:c r="D129" s="14" t="str">
        <x:v>Katanda</x:v>
      </x:c>
      <x:c r="E129" s="14" t="str">
        <x:v>COD-P23-T02</x:v>
      </x:c>
      <x:c r="F129" s="14" t="str">
        <x:v>8209</x:v>
      </x:c>
      <x:c r="G129" s="14" t="str">
        <x:v>82</x:v>
      </x:c>
      <x:c r="H129" s="14" t="str">
        <x:v>SOURCE_SECONDAIRE_A_VALIDER</x:v>
      </x:c>
      <x:c r="I129" s="14" t="str">
        <x:v>S05</x:v>
      </x:c>
      <x:c r="J129" s="14" t="str">
        <x:v>PCode conservé comme valeur de travail; validation officielle requise.</x:v>
      </x:c>
      <x:c r="K129" s="14" t="str">
        <x:v>2026-09-13</x:v>
      </x:c>
    </x:row>
    <x:row r="130">
      <x:c r="A130" s="14" t="n">
        <x:v>127</x:v>
      </x:c>
      <x:c r="B130" s="14" t="n">
        <x:v>23</x:v>
      </x:c>
      <x:c r="C130" s="14" t="str">
        <x:v>Kasaï-Oriental</x:v>
      </x:c>
      <x:c r="D130" s="14" t="str">
        <x:v>Lupatapata</x:v>
      </x:c>
      <x:c r="E130" s="14" t="str">
        <x:v>COD-P23-T03</x:v>
      </x:c>
      <x:c r="F130" s="14" t="str">
        <x:v>8208</x:v>
      </x:c>
      <x:c r="G130" s="14" t="str">
        <x:v>82</x:v>
      </x:c>
      <x:c r="H130" s="14" t="str">
        <x:v>SOURCE_SECONDAIRE_A_VALIDER</x:v>
      </x:c>
      <x:c r="I130" s="14" t="str">
        <x:v>S05</x:v>
      </x:c>
      <x:c r="J130" s="14" t="str">
        <x:v>PCode conservé comme valeur de travail; validation officielle requise.</x:v>
      </x:c>
      <x:c r="K130" s="14" t="str">
        <x:v>2026-09-13</x:v>
      </x:c>
    </x:row>
    <x:row r="131">
      <x:c r="A131" s="14" t="n">
        <x:v>128</x:v>
      </x:c>
      <x:c r="B131" s="14" t="n">
        <x:v>23</x:v>
      </x:c>
      <x:c r="C131" s="14" t="str">
        <x:v>Kasaï-Oriental</x:v>
      </x:c>
      <x:c r="D131" s="14" t="str">
        <x:v>Miabi</x:v>
      </x:c>
      <x:c r="E131" s="14" t="str">
        <x:v>COD-P23-T04</x:v>
      </x:c>
      <x:c r="F131" s="14" t="str">
        <x:v>8206</x:v>
      </x:c>
      <x:c r="G131" s="14" t="str">
        <x:v>82</x:v>
      </x:c>
      <x:c r="H131" s="14" t="str">
        <x:v>SOURCE_SECONDAIRE_A_VALIDER</x:v>
      </x:c>
      <x:c r="I131" s="14" t="str">
        <x:v>S05</x:v>
      </x:c>
      <x:c r="J131" s="14" t="str">
        <x:v>PCode conservé comme valeur de travail; validation officielle requise.</x:v>
      </x:c>
      <x:c r="K131" s="14" t="str">
        <x:v>2026-09-13</x:v>
      </x:c>
    </x:row>
    <x:row r="132">
      <x:c r="A132" s="14" t="n">
        <x:v>129</x:v>
      </x:c>
      <x:c r="B132" s="14" t="n">
        <x:v>23</x:v>
      </x:c>
      <x:c r="C132" s="14" t="str">
        <x:v>Kasaï-Oriental</x:v>
      </x:c>
      <x:c r="D132" s="14" t="str">
        <x:v>Tshilenge</x:v>
      </x:c>
      <x:c r="E132" s="14" t="str">
        <x:v>COD-P23-T05</x:v>
      </x:c>
      <x:c r="F132" s="14" t="str">
        <x:v>8203</x:v>
      </x:c>
      <x:c r="G132" s="14" t="str">
        <x:v>82</x:v>
      </x:c>
      <x:c r="H132" s="14" t="str">
        <x:v>SOURCE_SECONDAIRE_A_VALIDER</x:v>
      </x:c>
      <x:c r="I132" s="14" t="str">
        <x:v>S05</x:v>
      </x:c>
      <x:c r="J132" s="14" t="str">
        <x:v>PCode conservé comme valeur de travail; validation officielle requise.</x:v>
      </x:c>
      <x:c r="K132" s="14" t="str">
        <x:v>2026-09-13</x:v>
      </x:c>
    </x:row>
    <x:row r="133">
      <x:c r="A133" s="14" t="n">
        <x:v>130</x:v>
      </x:c>
      <x:c r="B133" s="14" t="n">
        <x:v>24</x:v>
      </x:c>
      <x:c r="C133" s="14" t="str">
        <x:v>Sankuru</x:v>
      </x:c>
      <x:c r="D133" s="14" t="str">
        <x:v>Katako-Kombe</x:v>
      </x:c>
      <x:c r="E133" s="14" t="str">
        <x:v>COD-P24-T01</x:v>
      </x:c>
      <x:c r="F133" s="14" t="str">
        <x:v>8308</x:v>
      </x:c>
      <x:c r="G133" s="14" t="str">
        <x:v>83</x:v>
      </x:c>
      <x:c r="H133" s="14" t="str">
        <x:v>SOURCE_SECONDAIRE_A_VALIDER</x:v>
      </x:c>
      <x:c r="I133" s="14" t="str">
        <x:v>S05</x:v>
      </x:c>
      <x:c r="J133" s="14" t="str">
        <x:v>PCode conservé comme valeur de travail; validation officielle requise.</x:v>
      </x:c>
      <x:c r="K133" s="14" t="str">
        <x:v>2026-09-13</x:v>
      </x:c>
    </x:row>
    <x:row r="134">
      <x:c r="A134" s="14" t="n">
        <x:v>131</x:v>
      </x:c>
      <x:c r="B134" s="14" t="n">
        <x:v>24</x:v>
      </x:c>
      <x:c r="C134" s="14" t="str">
        <x:v>Sankuru</x:v>
      </x:c>
      <x:c r="D134" s="14" t="str">
        <x:v>Kole</x:v>
      </x:c>
      <x:c r="E134" s="14" t="str">
        <x:v>COD-P24-T02</x:v>
      </x:c>
      <x:c r="F134" s="14" t="str">
        <x:v>8306</x:v>
      </x:c>
      <x:c r="G134" s="14" t="str">
        <x:v>83</x:v>
      </x:c>
      <x:c r="H134" s="14" t="str">
        <x:v>SOURCE_SECONDAIRE_A_VALIDER</x:v>
      </x:c>
      <x:c r="I134" s="14" t="str">
        <x:v>S05</x:v>
      </x:c>
      <x:c r="J134" s="14" t="str">
        <x:v>PCode conservé comme valeur de travail; validation officielle requise.</x:v>
      </x:c>
      <x:c r="K134" s="14" t="str">
        <x:v>2026-09-13</x:v>
      </x:c>
    </x:row>
    <x:row r="135">
      <x:c r="A135" s="14" t="n">
        <x:v>132</x:v>
      </x:c>
      <x:c r="B135" s="14" t="n">
        <x:v>24</x:v>
      </x:c>
      <x:c r="C135" s="14" t="str">
        <x:v>Sankuru</x:v>
      </x:c>
      <x:c r="D135" s="14" t="str">
        <x:v>Lodja</x:v>
      </x:c>
      <x:c r="E135" s="14" t="str">
        <x:v>COD-P24-T03</x:v>
      </x:c>
      <x:c r="F135" s="14" t="str">
        <x:v>8304</x:v>
      </x:c>
      <x:c r="G135" s="14" t="str">
        <x:v>83</x:v>
      </x:c>
      <x:c r="H135" s="14" t="str">
        <x:v>SOURCE_SECONDAIRE_A_VALIDER</x:v>
      </x:c>
      <x:c r="I135" s="14" t="str">
        <x:v>S05</x:v>
      </x:c>
      <x:c r="J135" s="14" t="str">
        <x:v>PCode conservé comme valeur de travail; validation officielle requise.</x:v>
      </x:c>
      <x:c r="K135" s="14" t="str">
        <x:v>2026-09-13</x:v>
      </x:c>
    </x:row>
    <x:row r="136">
      <x:c r="A136" s="14" t="n">
        <x:v>133</x:v>
      </x:c>
      <x:c r="B136" s="14" t="n">
        <x:v>24</x:v>
      </x:c>
      <x:c r="C136" s="14" t="str">
        <x:v>Sankuru</x:v>
      </x:c>
      <x:c r="D136" s="14" t="str">
        <x:v>Lomela</x:v>
      </x:c>
      <x:c r="E136" s="14" t="str">
        <x:v>COD-P24-T04</x:v>
      </x:c>
      <x:c r="F136" s="14" t="str">
        <x:v>8307</x:v>
      </x:c>
      <x:c r="G136" s="14" t="str">
        <x:v>83</x:v>
      </x:c>
      <x:c r="H136" s="14" t="str">
        <x:v>SOURCE_SECONDAIRE_A_VALIDER</x:v>
      </x:c>
      <x:c r="I136" s="14" t="str">
        <x:v>S05</x:v>
      </x:c>
      <x:c r="J136" s="14" t="str">
        <x:v>PCode conservé comme valeur de travail; validation officielle requise.</x:v>
      </x:c>
      <x:c r="K136" s="14" t="str">
        <x:v>2026-09-13</x:v>
      </x:c>
    </x:row>
    <x:row r="137">
      <x:c r="A137" s="14" t="n">
        <x:v>134</x:v>
      </x:c>
      <x:c r="B137" s="14" t="n">
        <x:v>24</x:v>
      </x:c>
      <x:c r="C137" s="14" t="str">
        <x:v>Sankuru</x:v>
      </x:c>
      <x:c r="D137" s="14" t="str">
        <x:v>Lubefu</x:v>
      </x:c>
      <x:c r="E137" s="14" t="str">
        <x:v>COD-P24-T05</x:v>
      </x:c>
      <x:c r="F137" s="14" t="str">
        <x:v>8309</x:v>
      </x:c>
      <x:c r="G137" s="14" t="str">
        <x:v>83</x:v>
      </x:c>
      <x:c r="H137" s="14" t="str">
        <x:v>SOURCE_SECONDAIRE_A_VALIDER</x:v>
      </x:c>
      <x:c r="I137" s="14" t="str">
        <x:v>S05</x:v>
      </x:c>
      <x:c r="J137" s="14" t="str">
        <x:v>PCode conservé comme valeur de travail; validation officielle requise.</x:v>
      </x:c>
      <x:c r="K137" s="14" t="str">
        <x:v>2026-09-13</x:v>
      </x:c>
    </x:row>
    <x:row r="138">
      <x:c r="A138" s="14" t="n">
        <x:v>135</x:v>
      </x:c>
      <x:c r="B138" s="14" t="n">
        <x:v>24</x:v>
      </x:c>
      <x:c r="C138" s="14" t="str">
        <x:v>Sankuru</x:v>
      </x:c>
      <x:c r="D138" s="14" t="str">
        <x:v>Lusambo</x:v>
      </x:c>
      <x:c r="E138" s="14" t="str">
        <x:v>COD-P24-T06</x:v>
      </x:c>
      <x:c r="F138" s="14" t="str">
        <x:v>8302</x:v>
      </x:c>
      <x:c r="G138" s="14" t="str">
        <x:v>83</x:v>
      </x:c>
      <x:c r="H138" s="14" t="str">
        <x:v>SOURCE_SECONDAIRE_A_VALIDER</x:v>
      </x:c>
      <x:c r="I138" s="14" t="str">
        <x:v>S05</x:v>
      </x:c>
      <x:c r="J138" s="14" t="str">
        <x:v>PCode conservé comme valeur de travail; validation officielle requise.</x:v>
      </x:c>
      <x:c r="K138" s="14" t="str">
        <x:v>2026-09-13</x:v>
      </x:c>
    </x:row>
    <x:row r="139">
      <x:c r="A139" s="14" t="n">
        <x:v>136</x:v>
      </x:c>
      <x:c r="B139" s="14" t="n">
        <x:v>25</x:v>
      </x:c>
      <x:c r="C139" s="14" t="str">
        <x:v>Kasaï-Central</x:v>
      </x:c>
      <x:c r="D139" s="14" t="str">
        <x:v>Demba</x:v>
      </x:c>
      <x:c r="E139" s="14" t="str">
        <x:v>COD-P25-T01</x:v>
      </x:c>
      <x:c r="F139" s="14" t="str">
        <x:v>9106</x:v>
      </x:c>
      <x:c r="G139" s="14" t="str">
        <x:v>91</x:v>
      </x:c>
      <x:c r="H139" s="14" t="str">
        <x:v>SOURCE_SECONDAIRE_A_VALIDER</x:v>
      </x:c>
      <x:c r="I139" s="14" t="str">
        <x:v>S05</x:v>
      </x:c>
      <x:c r="J139" s="14" t="str">
        <x:v>PCode conservé comme valeur de travail; validation officielle requise.</x:v>
      </x:c>
      <x:c r="K139" s="14" t="str">
        <x:v>2026-09-13</x:v>
      </x:c>
    </x:row>
    <x:row r="140">
      <x:c r="A140" s="14" t="n">
        <x:v>137</x:v>
      </x:c>
      <x:c r="B140" s="14" t="n">
        <x:v>25</x:v>
      </x:c>
      <x:c r="C140" s="14" t="str">
        <x:v>Kasaï-Central</x:v>
      </x:c>
      <x:c r="D140" s="14" t="str">
        <x:v>Dibaya</x:v>
      </x:c>
      <x:c r="E140" s="14" t="str">
        <x:v>COD-P25-T02</x:v>
      </x:c>
      <x:c r="F140" s="14" t="str">
        <x:v>9102</x:v>
      </x:c>
      <x:c r="G140" s="14" t="str">
        <x:v>91</x:v>
      </x:c>
      <x:c r="H140" s="14" t="str">
        <x:v>SOURCE_SECONDAIRE_A_VALIDER</x:v>
      </x:c>
      <x:c r="I140" s="14" t="str">
        <x:v>S05</x:v>
      </x:c>
      <x:c r="J140" s="14" t="str">
        <x:v>PCode conservé comme valeur de travail; validation officielle requise.</x:v>
      </x:c>
      <x:c r="K140" s="14" t="str">
        <x:v>2026-09-13</x:v>
      </x:c>
    </x:row>
    <x:row r="141">
      <x:c r="A141" s="14" t="n">
        <x:v>138</x:v>
      </x:c>
      <x:c r="B141" s="14" t="n">
        <x:v>25</x:v>
      </x:c>
      <x:c r="C141" s="14" t="str">
        <x:v>Kasaï-Central</x:v>
      </x:c>
      <x:c r="D141" s="14" t="str">
        <x:v>Dimbelenge</x:v>
      </x:c>
      <x:c r="E141" s="14" t="str">
        <x:v>COD-P25-T03</x:v>
      </x:c>
      <x:c r="F141" s="14" t="str">
        <x:v>9107</x:v>
      </x:c>
      <x:c r="G141" s="14" t="str">
        <x:v>91</x:v>
      </x:c>
      <x:c r="H141" s="14" t="str">
        <x:v>SOURCE_SECONDAIRE_A_VALIDER</x:v>
      </x:c>
      <x:c r="I141" s="14" t="str">
        <x:v>S05</x:v>
      </x:c>
      <x:c r="J141" s="14" t="str">
        <x:v>PCode conservé comme valeur de travail; validation officielle requise.</x:v>
      </x:c>
      <x:c r="K141" s="14" t="str">
        <x:v>2026-09-13</x:v>
      </x:c>
    </x:row>
    <x:row r="142">
      <x:c r="A142" s="14" t="n">
        <x:v>139</x:v>
      </x:c>
      <x:c r="B142" s="14" t="n">
        <x:v>25</x:v>
      </x:c>
      <x:c r="C142" s="14" t="str">
        <x:v>Kasaï-Central</x:v>
      </x:c>
      <x:c r="D142" s="14" t="str">
        <x:v>Kazumba</x:v>
      </x:c>
      <x:c r="E142" s="14" t="str">
        <x:v>COD-P25-T04</x:v>
      </x:c>
      <x:c r="F142" s="14" t="str">
        <x:v>9105</x:v>
      </x:c>
      <x:c r="G142" s="14" t="str">
        <x:v>91</x:v>
      </x:c>
      <x:c r="H142" s="14" t="str">
        <x:v>SOURCE_SECONDAIRE_A_VALIDER</x:v>
      </x:c>
      <x:c r="I142" s="14" t="str">
        <x:v>S05</x:v>
      </x:c>
      <x:c r="J142" s="14" t="str">
        <x:v>PCode conservé comme valeur de travail; validation officielle requise.</x:v>
      </x:c>
      <x:c r="K142" s="14" t="str">
        <x:v>2026-09-13</x:v>
      </x:c>
    </x:row>
    <x:row r="143">
      <x:c r="A143" s="14" t="n">
        <x:v>140</x:v>
      </x:c>
      <x:c r="B143" s="14" t="n">
        <x:v>25</x:v>
      </x:c>
      <x:c r="C143" s="14" t="str">
        <x:v>Kasaï-Central</x:v>
      </x:c>
      <x:c r="D143" s="14" t="str">
        <x:v>Luiza</x:v>
      </x:c>
      <x:c r="E143" s="14" t="str">
        <x:v>COD-P25-T05</x:v>
      </x:c>
      <x:c r="F143" s="14" t="str">
        <x:v>9104</x:v>
      </x:c>
      <x:c r="G143" s="14" t="str">
        <x:v>91</x:v>
      </x:c>
      <x:c r="H143" s="14" t="str">
        <x:v>SOURCE_SECONDAIRE_A_VALIDER</x:v>
      </x:c>
      <x:c r="I143" s="14" t="str">
        <x:v>S05</x:v>
      </x:c>
      <x:c r="J143" s="14" t="str">
        <x:v>PCode conservé comme valeur de travail; validation officielle requise.</x:v>
      </x:c>
      <x:c r="K143" s="14" t="str">
        <x:v>2026-09-13</x:v>
      </x:c>
    </x:row>
    <x:row r="144">
      <x:c r="A144" s="14" t="n">
        <x:v>141</x:v>
      </x:c>
      <x:c r="B144" s="14" t="n">
        <x:v>26</x:v>
      </x:c>
      <x:c r="C144" s="14" t="str">
        <x:v>Kasaï</x:v>
      </x:c>
      <x:c r="D144" s="14" t="str">
        <x:v>Dekese</x:v>
      </x:c>
      <x:c r="E144" s="14" t="str">
        <x:v>COD-P26-T01</x:v>
      </x:c>
      <x:c r="F144" s="14" t="str">
        <x:v>9208</x:v>
      </x:c>
      <x:c r="G144" s="14" t="str">
        <x:v>92</x:v>
      </x:c>
      <x:c r="H144" s="14" t="str">
        <x:v>SOURCE_SECONDAIRE_A_VALIDER</x:v>
      </x:c>
      <x:c r="I144" s="14" t="str">
        <x:v>S05</x:v>
      </x:c>
      <x:c r="J144" s="14" t="str">
        <x:v>PCode conservé comme valeur de travail; validation officielle requise.</x:v>
      </x:c>
      <x:c r="K144" s="14" t="str">
        <x:v>2026-09-13</x:v>
      </x:c>
    </x:row>
    <x:row r="145">
      <x:c r="A145" s="14" t="n">
        <x:v>142</x:v>
      </x:c>
      <x:c r="B145" s="14" t="n">
        <x:v>26</x:v>
      </x:c>
      <x:c r="C145" s="14" t="str">
        <x:v>Kasaï</x:v>
      </x:c>
      <x:c r="D145" s="14" t="str">
        <x:v>Ilebo</x:v>
      </x:c>
      <x:c r="E145" s="14" t="str">
        <x:v>COD-P26-T02</x:v>
      </x:c>
      <x:c r="F145" s="14" t="str">
        <x:v>9206</x:v>
      </x:c>
      <x:c r="G145" s="14" t="str">
        <x:v>92</x:v>
      </x:c>
      <x:c r="H145" s="14" t="str">
        <x:v>SOURCE_SECONDAIRE_A_VALIDER</x:v>
      </x:c>
      <x:c r="I145" s="14" t="str">
        <x:v>S05</x:v>
      </x:c>
      <x:c r="J145" s="14" t="str">
        <x:v>PCode conservé comme valeur de travail; validation officielle requise.</x:v>
      </x:c>
      <x:c r="K145" s="14" t="str">
        <x:v>2026-09-13</x:v>
      </x:c>
    </x:row>
    <x:row r="146">
      <x:c r="A146" s="32" t="n">
        <x:v>143</x:v>
      </x:c>
      <x:c r="B146" s="32" t="n">
        <x:v>26</x:v>
      </x:c>
      <x:c r="C146" s="32" t="str">
        <x:v>Kasaï</x:v>
      </x:c>
      <x:c r="D146" s="32" t="str">
        <x:v>Kamonia</x:v>
      </x:c>
      <x:c r="E146" s="32" t="str">
        <x:v>COD-P26-T03</x:v>
      </x:c>
      <x:c r="F146" s="32" t="str">
        <x:v>9102</x:v>
      </x:c>
      <x:c r="G146" s="32" t="str">
        <x:v>92</x:v>
      </x:c>
      <x:c r="H146" s="32" t="str">
        <x:v>CONFLIT_A_VALIDER</x:v>
      </x:c>
      <x:c r="I146" s="32" t="str">
        <x:v>S05</x:v>
      </x:c>
      <x:c r="J146" s="32" t="str">
        <x:v>Préfixe du PCode brut incompatible avec la province; vérifier RGC/OCHA/CAID.</x:v>
      </x:c>
      <x:c r="K146" s="32" t="str">
        <x:v>2026-09-13</x:v>
      </x:c>
    </x:row>
    <x:row r="147">
      <x:c r="A147" s="14" t="n">
        <x:v>144</x:v>
      </x:c>
      <x:c r="B147" s="14" t="n">
        <x:v>26</x:v>
      </x:c>
      <x:c r="C147" s="14" t="str">
        <x:v>Kasaï</x:v>
      </x:c>
      <x:c r="D147" s="14" t="str">
        <x:v>Luebo</x:v>
      </x:c>
      <x:c r="E147" s="14" t="str">
        <x:v>COD-P26-T04</x:v>
      </x:c>
      <x:c r="F147" s="14" t="str">
        <x:v>9204</x:v>
      </x:c>
      <x:c r="G147" s="14" t="str">
        <x:v>92</x:v>
      </x:c>
      <x:c r="H147" s="14" t="str">
        <x:v>SOURCE_SECONDAIRE_A_VALIDER</x:v>
      </x:c>
      <x:c r="I147" s="14" t="str">
        <x:v>S05</x:v>
      </x:c>
      <x:c r="J147" s="14" t="str">
        <x:v>PCode conservé comme valeur de travail; validation officielle requise.</x:v>
      </x:c>
      <x:c r="K147" s="14" t="str">
        <x:v>2026-09-13</x:v>
      </x:c>
    </x:row>
    <x:row r="148">
      <x:c r="A148" s="14" t="n">
        <x:v>145</x:v>
      </x:c>
      <x:c r="B148" s="14" t="n">
        <x:v>26</x:v>
      </x:c>
      <x:c r="C148" s="14" t="str">
        <x:v>Kasaï</x:v>
      </x:c>
      <x:c r="D148" s="14" t="str">
        <x:v>Mweka</x:v>
      </x:c>
      <x:c r="E148" s="14" t="str">
        <x:v>COD-P26-T05</x:v>
      </x:c>
      <x:c r="F148" s="14" t="str">
        <x:v>9207</x:v>
      </x:c>
      <x:c r="G148" s="14" t="str">
        <x:v>92</x:v>
      </x:c>
      <x:c r="H148" s="14" t="str">
        <x:v>SOURCE_SECONDAIRE_A_VALIDER</x:v>
      </x:c>
      <x:c r="I148" s="14" t="str">
        <x:v>S05</x:v>
      </x:c>
      <x:c r="J148" s="14" t="str">
        <x:v>PCode conservé comme valeur de travail; validation officielle requise.</x:v>
      </x:c>
      <x:c r="K148" s="14" t="str">
        <x:v>2026-09-13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fe5b0477927243b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8" hidden="0" customWidth="1"/>
    <x:col min="4" max="4" width="30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5" hidden="0" customWidth="1"/>
    <x:col min="10" max="10" width="14" hidden="0" customWidth="1"/>
    <x:col min="11" max="11" width="20" hidden="0" customWidth="1"/>
  </x:cols>
  <x:sheetData>
    <x:row r="1" ht="28" customHeight="1">
      <x:c r="A1" s="4" t="str">
        <x:v>Secteurs et chefferies — table de production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18" t="str">
        <x:v>Table volontairement vide dans la Phase 1 : elle sera alimentée à partir d’une nomenclature administrative détaillée validée. L’extrait historique de contrôle est dans « Extrait_ETD ».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</x:row>
    <x:row r="3">
      <x:c r="A3" s="26" t="str">
        <x:v>secteur_chefferie_id</x:v>
      </x:c>
      <x:c r="B3" s="26" t="str">
        <x:v>territoire_id</x:v>
      </x:c>
      <x:c r="C3" s="26" t="str">
        <x:v>type_entite</x:v>
      </x:c>
      <x:c r="D3" s="26" t="str">
        <x:v>nom_entite</x:v>
      </x:c>
      <x:c r="E3" s="26" t="str">
        <x:v>pcode</x:v>
      </x:c>
      <x:c r="F3" s="26" t="str">
        <x:v>code_ins</x:v>
      </x:c>
      <x:c r="G3" s="26" t="str">
        <x:v>latitude</x:v>
      </x:c>
      <x:c r="H3" s="26" t="str">
        <x:v>longitude</x:v>
      </x:c>
      <x:c r="I3" s="26" t="str">
        <x:v>annee_source</x:v>
      </x:c>
      <x:c r="J3" s="26" t="str">
        <x:v>source_id</x:v>
      </x:c>
      <x:c r="K3" s="26" t="str">
        <x:v>statut_validation</x:v>
      </x:c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</x:row>
  </x:sheetData>
  <x:mergeCells>
    <x:mergeCell ref="A1:K1"/>
    <x:mergeCell ref="A2:K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20" hidden="0" customWidth="1"/>
    <x:col min="4" max="4" width="22" hidden="0" customWidth="1"/>
    <x:col min="5" max="5" width="16" hidden="0" customWidth="1"/>
    <x:col min="6" max="6" width="32" hidden="0" customWidth="1"/>
    <x:col min="7" max="7" width="15" hidden="0" customWidth="1"/>
    <x:col min="8" max="8" width="14" hidden="0" customWidth="1"/>
    <x:col min="9" max="9" width="24" hidden="0" customWidth="1"/>
  </x:cols>
  <x:sheetData>
    <x:row r="1" ht="28" customHeight="1">
      <x:c r="A1" s="4" t="str">
        <x:v>Extrait historique de secteurs/chefferies — validation requise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8" t="str">
        <x:v>Cet extrait sert à tester le modèle et le processus ETL; il n’est pas présenté comme la nomenclature nationale finale.</x:v>
      </x:c>
      <x:c r="B2" s="18"/>
      <x:c r="C2" s="18"/>
      <x:c r="D2" s="18"/>
      <x:c r="E2" s="18"/>
      <x:c r="F2" s="18"/>
      <x:c r="G2" s="18"/>
      <x:c r="H2" s="18"/>
      <x:c r="I2" s="18"/>
    </x:row>
    <x:row r="3">
      <x:c r="A3" s="26" t="str">
        <x:v>extrait_id</x:v>
      </x:c>
      <x:c r="B3" s="26" t="str">
        <x:v>province_id</x:v>
      </x:c>
      <x:c r="C3" s="26" t="str">
        <x:v>province</x:v>
      </x:c>
      <x:c r="D3" s="26" t="str">
        <x:v>territoire</x:v>
      </x:c>
      <x:c r="E3" s="26" t="str">
        <x:v>type_entite</x:v>
      </x:c>
      <x:c r="F3" s="26" t="str">
        <x:v>nom_entite</x:v>
      </x:c>
      <x:c r="G3" s="26" t="str">
        <x:v>annee_source</x:v>
      </x:c>
      <x:c r="H3" s="26" t="str">
        <x:v>source_id</x:v>
      </x:c>
      <x:c r="I3" s="26" t="str">
        <x:v>statut_validation</x:v>
      </x:c>
    </x:row>
    <x:row r="4">
      <x:c r="A4" s="14" t="n">
        <x:v>1</x:v>
      </x:c>
      <x:c r="B4" s="14" t="n">
        <x:v>12</x:v>
      </x:c>
      <x:c r="C4" s="14" t="str">
        <x:v>Bas-Uele</x:v>
      </x:c>
      <x:c r="D4" s="14" t="str">
        <x:v>Aketi</x:v>
      </x:c>
      <x:c r="E4" s="14" t="str">
        <x:v>CHEFFERIE</x:v>
      </x:c>
      <x:c r="F4" s="14" t="str">
        <x:v>Avuru-Duma</x:v>
      </x:c>
      <x:c r="G4" s="14" t="str">
        <x:v>2018</x:v>
      </x:c>
      <x:c r="H4" s="14" t="str">
        <x:v>S06</x:v>
      </x:c>
      <x:c r="I4" s="14" t="str">
        <x:v>HISTORIQUE_A_VALIDER</x:v>
      </x:c>
    </x:row>
    <x:row r="5">
      <x:c r="A5" s="14" t="n">
        <x:v>2</x:v>
      </x:c>
      <x:c r="B5" s="14" t="n">
        <x:v>12</x:v>
      </x:c>
      <x:c r="C5" s="14" t="str">
        <x:v>Bas-Uele</x:v>
      </x:c>
      <x:c r="D5" s="14" t="str">
        <x:v>Aketi</x:v>
      </x:c>
      <x:c r="E5" s="14" t="str">
        <x:v>CHEFFERIE</x:v>
      </x:c>
      <x:c r="F5" s="14" t="str">
        <x:v>Avuru-Gatanga</x:v>
      </x:c>
      <x:c r="G5" s="14" t="str">
        <x:v>2018</x:v>
      </x:c>
      <x:c r="H5" s="14" t="str">
        <x:v>S06</x:v>
      </x:c>
      <x:c r="I5" s="14" t="str">
        <x:v>HISTORIQUE_A_VALIDER</x:v>
      </x:c>
    </x:row>
    <x:row r="6">
      <x:c r="A6" s="14" t="n">
        <x:v>3</x:v>
      </x:c>
      <x:c r="B6" s="14" t="n">
        <x:v>12</x:v>
      </x:c>
      <x:c r="C6" s="14" t="str">
        <x:v>Bas-Uele</x:v>
      </x:c>
      <x:c r="D6" s="14" t="str">
        <x:v>Aketi</x:v>
      </x:c>
      <x:c r="E6" s="14" t="str">
        <x:v>CHEFFERIE</x:v>
      </x:c>
      <x:c r="F6" s="14" t="str">
        <x:v>Bondongola</x:v>
      </x:c>
      <x:c r="G6" s="14" t="str">
        <x:v>2018</x:v>
      </x:c>
      <x:c r="H6" s="14" t="str">
        <x:v>S06</x:v>
      </x:c>
      <x:c r="I6" s="14" t="str">
        <x:v>HISTORIQUE_A_VALIDER</x:v>
      </x:c>
    </x:row>
    <x:row r="7">
      <x:c r="A7" s="14" t="n">
        <x:v>4</x:v>
      </x:c>
      <x:c r="B7" s="14" t="n">
        <x:v>12</x:v>
      </x:c>
      <x:c r="C7" s="14" t="str">
        <x:v>Bas-Uele</x:v>
      </x:c>
      <x:c r="D7" s="14" t="str">
        <x:v>Aketi</x:v>
      </x:c>
      <x:c r="E7" s="14" t="str">
        <x:v>CHEFFERIE</x:v>
      </x:c>
      <x:c r="F7" s="14" t="str">
        <x:v>Mabinza</x:v>
      </x:c>
      <x:c r="G7" s="14" t="str">
        <x:v>2018</x:v>
      </x:c>
      <x:c r="H7" s="14" t="str">
        <x:v>S06</x:v>
      </x:c>
      <x:c r="I7" s="14" t="str">
        <x:v>HISTORIQUE_A_VALIDER</x:v>
      </x:c>
    </x:row>
    <x:row r="8">
      <x:c r="A8" s="14" t="n">
        <x:v>5</x:v>
      </x:c>
      <x:c r="B8" s="14" t="n">
        <x:v>12</x:v>
      </x:c>
      <x:c r="C8" s="14" t="str">
        <x:v>Bas-Uele</x:v>
      </x:c>
      <x:c r="D8" s="14" t="str">
        <x:v>Aketi</x:v>
      </x:c>
      <x:c r="E8" s="14" t="str">
        <x:v>CHEFFERIE</x:v>
      </x:c>
      <x:c r="F8" s="14" t="str">
        <x:v>Mobati-Boyele</x:v>
      </x:c>
      <x:c r="G8" s="14" t="str">
        <x:v>2018</x:v>
      </x:c>
      <x:c r="H8" s="14" t="str">
        <x:v>S06</x:v>
      </x:c>
      <x:c r="I8" s="14" t="str">
        <x:v>HISTORIQUE_A_VALIDER</x:v>
      </x:c>
    </x:row>
    <x:row r="9">
      <x:c r="A9" s="14" t="n">
        <x:v>6</x:v>
      </x:c>
      <x:c r="B9" s="14" t="n">
        <x:v>12</x:v>
      </x:c>
      <x:c r="C9" s="14" t="str">
        <x:v>Bas-Uele</x:v>
      </x:c>
      <x:c r="D9" s="14" t="str">
        <x:v>Aketi</x:v>
      </x:c>
      <x:c r="E9" s="14" t="str">
        <x:v>CHEFFERIE</x:v>
      </x:c>
      <x:c r="F9" s="14" t="str">
        <x:v>Mongwandi</x:v>
      </x:c>
      <x:c r="G9" s="14" t="str">
        <x:v>2018</x:v>
      </x:c>
      <x:c r="H9" s="14" t="str">
        <x:v>S06</x:v>
      </x:c>
      <x:c r="I9" s="14" t="str">
        <x:v>HISTORIQUE_A_VALIDER</x:v>
      </x:c>
    </x:row>
    <x:row r="10">
      <x:c r="A10" s="14" t="n">
        <x:v>7</x:v>
      </x:c>
      <x:c r="B10" s="14" t="n">
        <x:v>12</x:v>
      </x:c>
      <x:c r="C10" s="14" t="str">
        <x:v>Bas-Uele</x:v>
      </x:c>
      <x:c r="D10" s="14" t="str">
        <x:v>Aketi</x:v>
      </x:c>
      <x:c r="E10" s="14" t="str">
        <x:v>SECTEUR</x:v>
      </x:c>
      <x:c r="F10" s="14" t="str">
        <x:v>Gbandi</x:v>
      </x:c>
      <x:c r="G10" s="14" t="str">
        <x:v>2018</x:v>
      </x:c>
      <x:c r="H10" s="14" t="str">
        <x:v>S06</x:v>
      </x:c>
      <x:c r="I10" s="14" t="str">
        <x:v>HISTORIQUE_A_VALIDER</x:v>
      </x:c>
    </x:row>
    <x:row r="11">
      <x:c r="A11" s="14" t="n">
        <x:v>8</x:v>
      </x:c>
      <x:c r="B11" s="14" t="n">
        <x:v>12</x:v>
      </x:c>
      <x:c r="C11" s="14" t="str">
        <x:v>Bas-Uele</x:v>
      </x:c>
      <x:c r="D11" s="14" t="str">
        <x:v>Aketi</x:v>
      </x:c>
      <x:c r="E11" s="14" t="str">
        <x:v>SECTEUR</x:v>
      </x:c>
      <x:c r="F11" s="14" t="str">
        <x:v>Yoko</x:v>
      </x:c>
      <x:c r="G11" s="14" t="str">
        <x:v>2018</x:v>
      </x:c>
      <x:c r="H11" s="14" t="str">
        <x:v>S06</x:v>
      </x:c>
      <x:c r="I11" s="14" t="str">
        <x:v>HISTORIQUE_A_VALIDER</x:v>
      </x:c>
    </x:row>
    <x:row r="12">
      <x:c r="A12" s="14" t="n">
        <x:v>9</x:v>
      </x:c>
      <x:c r="B12" s="14" t="n">
        <x:v>12</x:v>
      </x:c>
      <x:c r="C12" s="14" t="str">
        <x:v>Bas-Uele</x:v>
      </x:c>
      <x:c r="D12" s="14" t="str">
        <x:v>Ango</x:v>
      </x:c>
      <x:c r="E12" s="14" t="str">
        <x:v>CHEFFERIE</x:v>
      </x:c>
      <x:c r="F12" s="14" t="str">
        <x:v>Ezo</x:v>
      </x:c>
      <x:c r="G12" s="14" t="str">
        <x:v>2018</x:v>
      </x:c>
      <x:c r="H12" s="14" t="str">
        <x:v>S06</x:v>
      </x:c>
      <x:c r="I12" s="14" t="str">
        <x:v>HISTORIQUE_A_VALIDER</x:v>
      </x:c>
    </x:row>
    <x:row r="13">
      <x:c r="A13" s="14" t="n">
        <x:v>10</x:v>
      </x:c>
      <x:c r="B13" s="14" t="n">
        <x:v>12</x:v>
      </x:c>
      <x:c r="C13" s="14" t="str">
        <x:v>Bas-Uele</x:v>
      </x:c>
      <x:c r="D13" s="14" t="str">
        <x:v>Ango</x:v>
      </x:c>
      <x:c r="E13" s="14" t="str">
        <x:v>CHEFFERIE</x:v>
      </x:c>
      <x:c r="F13" s="14" t="str">
        <x:v>Mopoy</x:v>
      </x:c>
      <x:c r="G13" s="14" t="str">
        <x:v>2018</x:v>
      </x:c>
      <x:c r="H13" s="14" t="str">
        <x:v>S06</x:v>
      </x:c>
      <x:c r="I13" s="14" t="str">
        <x:v>HISTORIQUE_A_VALIDER</x:v>
      </x:c>
    </x:row>
    <x:row r="14">
      <x:c r="A14" s="14" t="n">
        <x:v>11</x:v>
      </x:c>
      <x:c r="B14" s="14" t="n">
        <x:v>12</x:v>
      </x:c>
      <x:c r="C14" s="14" t="str">
        <x:v>Bas-Uele</x:v>
      </x:c>
      <x:c r="D14" s="14" t="str">
        <x:v>Ango</x:v>
      </x:c>
      <x:c r="E14" s="14" t="str">
        <x:v>CHEFFERIE</x:v>
      </x:c>
      <x:c r="F14" s="14" t="str">
        <x:v>Ngindo</x:v>
      </x:c>
      <x:c r="G14" s="14" t="str">
        <x:v>2018</x:v>
      </x:c>
      <x:c r="H14" s="14" t="str">
        <x:v>S06</x:v>
      </x:c>
      <x:c r="I14" s="14" t="str">
        <x:v>HISTORIQUE_A_VALIDER</x:v>
      </x:c>
    </x:row>
    <x:row r="15">
      <x:c r="A15" s="14" t="n">
        <x:v>12</x:v>
      </x:c>
      <x:c r="B15" s="14" t="n">
        <x:v>12</x:v>
      </x:c>
      <x:c r="C15" s="14" t="str">
        <x:v>Bas-Uele</x:v>
      </x:c>
      <x:c r="D15" s="14" t="str">
        <x:v>Ango</x:v>
      </x:c>
      <x:c r="E15" s="14" t="str">
        <x:v>CHEFFERIE</x:v>
      </x:c>
      <x:c r="F15" s="14" t="str">
        <x:v>Sasa</x:v>
      </x:c>
      <x:c r="G15" s="14" t="str">
        <x:v>2018</x:v>
      </x:c>
      <x:c r="H15" s="14" t="str">
        <x:v>S06</x:v>
      </x:c>
      <x:c r="I15" s="14" t="str">
        <x:v>HISTORIQUE_A_VALIDER</x:v>
      </x:c>
    </x:row>
    <x:row r="16">
      <x:c r="A16" s="14" t="n">
        <x:v>13</x:v>
      </x:c>
      <x:c r="B16" s="14" t="n">
        <x:v>14</x:v>
      </x:c>
      <x:c r="C16" s="14" t="str">
        <x:v>Ituri</x:v>
      </x:c>
      <x:c r="D16" s="14" t="str">
        <x:v>Aru</x:v>
      </x:c>
      <x:c r="E16" s="14" t="str">
        <x:v>CHEFFERIE</x:v>
      </x:c>
      <x:c r="F16" s="14" t="str">
        <x:v>Aluru</x:v>
      </x:c>
      <x:c r="G16" s="14" t="str">
        <x:v>2018</x:v>
      </x:c>
      <x:c r="H16" s="14" t="str">
        <x:v>S06</x:v>
      </x:c>
      <x:c r="I16" s="14" t="str">
        <x:v>HISTORIQUE_A_VALIDER</x:v>
      </x:c>
    </x:row>
    <x:row r="17">
      <x:c r="A17" s="14" t="n">
        <x:v>14</x:v>
      </x:c>
      <x:c r="B17" s="14" t="n">
        <x:v>14</x:v>
      </x:c>
      <x:c r="C17" s="14" t="str">
        <x:v>Ituri</x:v>
      </x:c>
      <x:c r="D17" s="14" t="str">
        <x:v>Aru</x:v>
      </x:c>
      <x:c r="E17" s="14" t="str">
        <x:v>CHEFFERIE</x:v>
      </x:c>
      <x:c r="F17" s="14" t="str">
        <x:v>Kakwa</x:v>
      </x:c>
      <x:c r="G17" s="14" t="str">
        <x:v>2018</x:v>
      </x:c>
      <x:c r="H17" s="14" t="str">
        <x:v>S06</x:v>
      </x:c>
      <x:c r="I17" s="14" t="str">
        <x:v>HISTORIQUE_A_VALIDER</x:v>
      </x:c>
    </x:row>
    <x:row r="18">
      <x:c r="A18" s="14" t="n">
        <x:v>15</x:v>
      </x:c>
      <x:c r="B18" s="14" t="n">
        <x:v>14</x:v>
      </x:c>
      <x:c r="C18" s="14" t="str">
        <x:v>Ituri</x:v>
      </x:c>
      <x:c r="D18" s="14" t="str">
        <x:v>Aru</x:v>
      </x:c>
      <x:c r="E18" s="14" t="str">
        <x:v>CHEFFERIE</x:v>
      </x:c>
      <x:c r="F18" s="14" t="str">
        <x:v>Kaliko-Omi</x:v>
      </x:c>
      <x:c r="G18" s="14" t="str">
        <x:v>2018</x:v>
      </x:c>
      <x:c r="H18" s="14" t="str">
        <x:v>S06</x:v>
      </x:c>
      <x:c r="I18" s="14" t="str">
        <x:v>HISTORIQUE_A_VALIDER</x:v>
      </x:c>
    </x:row>
    <x:row r="19">
      <x:c r="A19" s="14" t="n">
        <x:v>16</x:v>
      </x:c>
      <x:c r="B19" s="14" t="n">
        <x:v>14</x:v>
      </x:c>
      <x:c r="C19" s="14" t="str">
        <x:v>Ituri</x:v>
      </x:c>
      <x:c r="D19" s="14" t="str">
        <x:v>Aru</x:v>
      </x:c>
      <x:c r="E19" s="14" t="str">
        <x:v>CHEFFERIE</x:v>
      </x:c>
      <x:c r="F19" s="14" t="str">
        <x:v>Lu</x:v>
      </x:c>
      <x:c r="G19" s="14" t="str">
        <x:v>2018</x:v>
      </x:c>
      <x:c r="H19" s="14" t="str">
        <x:v>S06</x:v>
      </x:c>
      <x:c r="I19" s="14" t="str">
        <x:v>HISTORIQUE_A_VALIDER</x:v>
      </x:c>
    </x:row>
    <x:row r="20">
      <x:c r="A20" s="14" t="n">
        <x:v>17</x:v>
      </x:c>
      <x:c r="B20" s="14" t="n">
        <x:v>14</x:v>
      </x:c>
      <x:c r="C20" s="14" t="str">
        <x:v>Ituri</x:v>
      </x:c>
      <x:c r="D20" s="14" t="str">
        <x:v>Aru</x:v>
      </x:c>
      <x:c r="E20" s="14" t="str">
        <x:v>CHEFFERIE</x:v>
      </x:c>
      <x:c r="F20" s="14" t="str">
        <x:v>Ndo-Okebo</x:v>
      </x:c>
      <x:c r="G20" s="14" t="str">
        <x:v>2018</x:v>
      </x:c>
      <x:c r="H20" s="14" t="str">
        <x:v>S06</x:v>
      </x:c>
      <x:c r="I20" s="14" t="str">
        <x:v>HISTORIQUE_A_VALIDER</x:v>
      </x:c>
    </x:row>
    <x:row r="21">
      <x:c r="A21" s="14" t="n">
        <x:v>18</x:v>
      </x:c>
      <x:c r="B21" s="14" t="n">
        <x:v>14</x:v>
      </x:c>
      <x:c r="C21" s="14" t="str">
        <x:v>Ituri</x:v>
      </x:c>
      <x:c r="D21" s="14" t="str">
        <x:v>Aru</x:v>
      </x:c>
      <x:c r="E21" s="14" t="str">
        <x:v>CHEFFERIE</x:v>
      </x:c>
      <x:c r="F21" s="14" t="str">
        <x:v>Nio-Kamule</x:v>
      </x:c>
      <x:c r="G21" s="14" t="str">
        <x:v>2018</x:v>
      </x:c>
      <x:c r="H21" s="14" t="str">
        <x:v>S06</x:v>
      </x:c>
      <x:c r="I21" s="14" t="str">
        <x:v>HISTORIQUE_A_VALIDER</x:v>
      </x:c>
    </x:row>
    <x:row r="22">
      <x:c r="A22" s="14" t="n">
        <x:v>19</x:v>
      </x:c>
      <x:c r="B22" s="14" t="n">
        <x:v>14</x:v>
      </x:c>
      <x:c r="C22" s="14" t="str">
        <x:v>Ituri</x:v>
      </x:c>
      <x:c r="D22" s="14" t="str">
        <x:v>Aru</x:v>
      </x:c>
      <x:c r="E22" s="14" t="str">
        <x:v>CHEFFERIE</x:v>
      </x:c>
      <x:c r="F22" s="14" t="str">
        <x:v>Otso</x:v>
      </x:c>
      <x:c r="G22" s="14" t="str">
        <x:v>2018</x:v>
      </x:c>
      <x:c r="H22" s="14" t="str">
        <x:v>S06</x:v>
      </x:c>
      <x:c r="I22" s="14" t="str">
        <x:v>HISTORIQUE_A_VALIDER</x:v>
      </x:c>
    </x:row>
    <x:row r="23">
      <x:c r="A23" s="14" t="n">
        <x:v>20</x:v>
      </x:c>
      <x:c r="B23" s="14" t="n">
        <x:v>14</x:v>
      </x:c>
      <x:c r="C23" s="14" t="str">
        <x:v>Ituri</x:v>
      </x:c>
      <x:c r="D23" s="14" t="str">
        <x:v>Aru</x:v>
      </x:c>
      <x:c r="E23" s="14" t="str">
        <x:v>CHEFFERIE</x:v>
      </x:c>
      <x:c r="F23" s="14" t="str">
        <x:v>Zaki</x:v>
      </x:c>
      <x:c r="G23" s="14" t="str">
        <x:v>2018</x:v>
      </x:c>
      <x:c r="H23" s="14" t="str">
        <x:v>S06</x:v>
      </x:c>
      <x:c r="I23" s="14" t="str">
        <x:v>HISTORIQUE_A_VALIDER</x:v>
      </x:c>
    </x:row>
    <x:row r="24">
      <x:c r="A24" s="14" t="n">
        <x:v>21</x:v>
      </x:c>
      <x:c r="B24" s="14" t="n">
        <x:v>11</x:v>
      </x:c>
      <x:c r="C24" s="14" t="str">
        <x:v>Tshopo</x:v>
      </x:c>
      <x:c r="D24" s="14" t="str">
        <x:v>Bafwasende</x:v>
      </x:c>
      <x:c r="E24" s="14" t="str">
        <x:v>SECTEUR</x:v>
      </x:c>
      <x:c r="F24" s="14" t="str">
        <x:v>Bafwandaka</x:v>
      </x:c>
      <x:c r="G24" s="14" t="str">
        <x:v>2018</x:v>
      </x:c>
      <x:c r="H24" s="14" t="str">
        <x:v>S06</x:v>
      </x:c>
      <x:c r="I24" s="14" t="str">
        <x:v>HISTORIQUE_A_VALIDER</x:v>
      </x:c>
    </x:row>
    <x:row r="25">
      <x:c r="A25" s="14" t="n">
        <x:v>22</x:v>
      </x:c>
      <x:c r="B25" s="14" t="n">
        <x:v>11</x:v>
      </x:c>
      <x:c r="C25" s="14" t="str">
        <x:v>Tshopo</x:v>
      </x:c>
      <x:c r="D25" s="14" t="str">
        <x:v>Bafwasende</x:v>
      </x:c>
      <x:c r="E25" s="14" t="str">
        <x:v>SECTEUR</x:v>
      </x:c>
      <x:c r="F25" s="14" t="str">
        <x:v>Bakumu d'Angumu</x:v>
      </x:c>
      <x:c r="G25" s="14" t="str">
        <x:v>2018</x:v>
      </x:c>
      <x:c r="H25" s="14" t="str">
        <x:v>S06</x:v>
      </x:c>
      <x:c r="I25" s="14" t="str">
        <x:v>HISTORIQUE_A_VALIDER</x:v>
      </x:c>
    </x:row>
    <x:row r="26">
      <x:c r="A26" s="14" t="n">
        <x:v>23</x:v>
      </x:c>
      <x:c r="B26" s="14" t="n">
        <x:v>11</x:v>
      </x:c>
      <x:c r="C26" s="14" t="str">
        <x:v>Tshopo</x:v>
      </x:c>
      <x:c r="D26" s="14" t="str">
        <x:v>Bafwasende</x:v>
      </x:c>
      <x:c r="E26" s="14" t="str">
        <x:v>SECTEUR</x:v>
      </x:c>
      <x:c r="F26" s="14" t="str">
        <x:v>Bakundumu</x:v>
      </x:c>
      <x:c r="G26" s="14" t="str">
        <x:v>2018</x:v>
      </x:c>
      <x:c r="H26" s="14" t="str">
        <x:v>S06</x:v>
      </x:c>
      <x:c r="I26" s="14" t="str">
        <x:v>HISTORIQUE_A_VALIDER</x:v>
      </x:c>
    </x:row>
    <x:row r="27">
      <x:c r="A27" s="14" t="n">
        <x:v>24</x:v>
      </x:c>
      <x:c r="B27" s="14" t="n">
        <x:v>11</x:v>
      </x:c>
      <x:c r="C27" s="14" t="str">
        <x:v>Tshopo</x:v>
      </x:c>
      <x:c r="D27" s="14" t="str">
        <x:v>Bafwasende</x:v>
      </x:c>
      <x:c r="E27" s="14" t="str">
        <x:v>SECTEUR</x:v>
      </x:c>
      <x:c r="F27" s="14" t="str">
        <x:v>Barumbi-Opienge</x:v>
      </x:c>
      <x:c r="G27" s="14" t="str">
        <x:v>2018</x:v>
      </x:c>
      <x:c r="H27" s="14" t="str">
        <x:v>S06</x:v>
      </x:c>
      <x:c r="I27" s="14" t="str">
        <x:v>HISTORIQUE_A_VALIDER</x:v>
      </x:c>
    </x:row>
    <x:row r="28">
      <x:c r="A28" s="14" t="n">
        <x:v>25</x:v>
      </x:c>
      <x:c r="B28" s="14" t="n">
        <x:v>11</x:v>
      </x:c>
      <x:c r="C28" s="14" t="str">
        <x:v>Tshopo</x:v>
      </x:c>
      <x:c r="D28" s="14" t="str">
        <x:v>Bafwasende</x:v>
      </x:c>
      <x:c r="E28" s="14" t="str">
        <x:v>SECTEUR</x:v>
      </x:c>
      <x:c r="F28" s="14" t="str">
        <x:v>Bekeni-Kondolole</x:v>
      </x:c>
      <x:c r="G28" s="14" t="str">
        <x:v>2018</x:v>
      </x:c>
      <x:c r="H28" s="14" t="str">
        <x:v>S06</x:v>
      </x:c>
      <x:c r="I28" s="14" t="str">
        <x:v>HISTORIQUE_A_VALIDER</x:v>
      </x:c>
    </x:row>
    <x:row r="29">
      <x:c r="A29" s="14" t="n">
        <x:v>26</x:v>
      </x:c>
      <x:c r="B29" s="14" t="n">
        <x:v>11</x:v>
      </x:c>
      <x:c r="C29" s="14" t="str">
        <x:v>Tshopo</x:v>
      </x:c>
      <x:c r="D29" s="14" t="str">
        <x:v>Bafwasende</x:v>
      </x:c>
      <x:c r="E29" s="14" t="str">
        <x:v>SECTEUR</x:v>
      </x:c>
      <x:c r="F29" s="14" t="str">
        <x:v>Bemili</x:v>
      </x:c>
      <x:c r="G29" s="14" t="str">
        <x:v>2018</x:v>
      </x:c>
      <x:c r="H29" s="14" t="str">
        <x:v>S06</x:v>
      </x:c>
      <x:c r="I29" s="14" t="str">
        <x:v>HISTORIQUE_A_VALIDER</x:v>
      </x:c>
    </x:row>
    <x:row r="30">
      <x:c r="A30" s="14" t="n">
        <x:v>27</x:v>
      </x:c>
      <x:c r="B30" s="14" t="n">
        <x:v>4</x:v>
      </x:c>
      <x:c r="C30" s="14" t="str">
        <x:v>Kwilu</x:v>
      </x:c>
      <x:c r="D30" s="14" t="str">
        <x:v>Bagata</x:v>
      </x:c>
      <x:c r="E30" s="14" t="str">
        <x:v>SECTEUR</x:v>
      </x:c>
      <x:c r="F30" s="14" t="str">
        <x:v>Kidzweme</x:v>
      </x:c>
      <x:c r="G30" s="14" t="str">
        <x:v>2018</x:v>
      </x:c>
      <x:c r="H30" s="14" t="str">
        <x:v>S06</x:v>
      </x:c>
      <x:c r="I30" s="14" t="str">
        <x:v>HISTORIQUE_A_VALIDER</x:v>
      </x:c>
    </x:row>
    <x:row r="31">
      <x:c r="A31" s="14" t="n">
        <x:v>28</x:v>
      </x:c>
      <x:c r="B31" s="14" t="n">
        <x:v>4</x:v>
      </x:c>
      <x:c r="C31" s="14" t="str">
        <x:v>Kwilu</x:v>
      </x:c>
      <x:c r="D31" s="14" t="str">
        <x:v>Bagata</x:v>
      </x:c>
      <x:c r="E31" s="14" t="str">
        <x:v>SECTEUR</x:v>
      </x:c>
      <x:c r="F31" s="14" t="str">
        <x:v>Kwango-Kasai</x:v>
      </x:c>
      <x:c r="G31" s="14" t="str">
        <x:v>2018</x:v>
      </x:c>
      <x:c r="H31" s="14" t="str">
        <x:v>S06</x:v>
      </x:c>
      <x:c r="I31" s="14" t="str">
        <x:v>HISTORIQUE_A_VALIDER</x:v>
      </x:c>
    </x:row>
    <x:row r="32">
      <x:c r="A32" s="14" t="n">
        <x:v>29</x:v>
      </x:c>
      <x:c r="B32" s="14" t="n">
        <x:v>4</x:v>
      </x:c>
      <x:c r="C32" s="14" t="str">
        <x:v>Kwilu</x:v>
      </x:c>
      <x:c r="D32" s="14" t="str">
        <x:v>Bagata</x:v>
      </x:c>
      <x:c r="E32" s="14" t="str">
        <x:v>SECTEUR</x:v>
      </x:c>
      <x:c r="F32" s="14" t="str">
        <x:v>Kwilu-Ntobere</x:v>
      </x:c>
      <x:c r="G32" s="14" t="str">
        <x:v>2018</x:v>
      </x:c>
      <x:c r="H32" s="14" t="str">
        <x:v>S06</x:v>
      </x:c>
      <x:c r="I32" s="14" t="str">
        <x:v>HISTORIQUE_A_VALIDER</x:v>
      </x:c>
    </x:row>
    <x:row r="33">
      <x:c r="A33" s="14" t="n">
        <x:v>30</x:v>
      </x:c>
      <x:c r="B33" s="14" t="n">
        <x:v>4</x:v>
      </x:c>
      <x:c r="C33" s="14" t="str">
        <x:v>Kwilu</x:v>
      </x:c>
      <x:c r="D33" s="14" t="str">
        <x:v>Bagata</x:v>
      </x:c>
      <x:c r="E33" s="14" t="str">
        <x:v>SECTEUR</x:v>
      </x:c>
      <x:c r="F33" s="14" t="str">
        <x:v>Manzasay</x:v>
      </x:c>
      <x:c r="G33" s="14" t="str">
        <x:v>2018</x:v>
      </x:c>
      <x:c r="H33" s="14" t="str">
        <x:v>S06</x:v>
      </x:c>
      <x:c r="I33" s="14" t="str">
        <x:v>HISTORIQUE_A_VALIDER</x:v>
      </x:c>
    </x:row>
    <x:row r="34">
      <x:c r="A34" s="14" t="n">
        <x:v>31</x:v>
      </x:c>
      <x:c r="B34" s="14" t="n">
        <x:v>4</x:v>
      </x:c>
      <x:c r="C34" s="14" t="str">
        <x:v>Kwilu</x:v>
      </x:c>
      <x:c r="D34" s="14" t="str">
        <x:v>Bagata</x:v>
      </x:c>
      <x:c r="E34" s="14" t="str">
        <x:v>SECTEUR</x:v>
      </x:c>
      <x:c r="F34" s="14" t="str">
        <x:v>Wamba-Fatundu</x:v>
      </x:c>
      <x:c r="G34" s="14" t="str">
        <x:v>2018</x:v>
      </x:c>
      <x:c r="H34" s="14" t="str">
        <x:v>S06</x:v>
      </x:c>
      <x:c r="I34" s="14" t="str">
        <x:v>HISTORIQUE_A_VALIDER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63331edecd341f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8" hidden="0" customWidth="1"/>
    <x:col min="4" max="4" width="24" hidden="0" customWidth="1"/>
    <x:col min="5" max="5" width="16" hidden="0" customWidth="1"/>
    <x:col min="6" max="6" width="22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20" hidden="0" customWidth="1"/>
  </x:cols>
  <x:sheetData>
    <x:row r="1" ht="28" customHeight="1">
      <x:c r="A1" s="4" t="str">
        <x:v>Groupements — structure d’import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18" t="str">
        <x:v>Champs alignés sur les attributs annoncés par le RGC : territoire, secteur/chefferie, nom du groupement, code administratif et localisation.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</x:row>
    <x:row r="3">
      <x:c r="A3" s="26" t="str">
        <x:v>groupement_id</x:v>
      </x:c>
      <x:c r="B3" s="26" t="str">
        <x:v>secteur_chefferie_id</x:v>
      </x:c>
      <x:c r="C3" s="26" t="str">
        <x:v>nom_groupement</x:v>
      </x:c>
      <x:c r="D3" s="26" t="str">
        <x:v>nom_alternatif</x:v>
      </x:c>
      <x:c r="E3" s="26" t="str">
        <x:v>pcode</x:v>
      </x:c>
      <x:c r="F3" s="26" t="str">
        <x:v>code_administratif</x:v>
      </x:c>
      <x:c r="G3" s="26" t="str">
        <x:v>latitude</x:v>
      </x:c>
      <x:c r="H3" s="26" t="str">
        <x:v>longitude</x:v>
      </x:c>
      <x:c r="I3" s="26" t="str">
        <x:v>source_id</x:v>
      </x:c>
      <x:c r="J3" s="26" t="str">
        <x:v>date_source</x:v>
      </x:c>
      <x:c r="K3" s="26" t="str">
        <x:v>statut_validation</x:v>
      </x:c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</x:row>
  </x:sheetData>
  <x:mergeCells>
    <x:mergeCell ref="A1:K1"/>
    <x:mergeCell ref="A2:K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8" hidden="0" customWidth="1"/>
    <x:col min="4" max="4" width="24" hidden="0" customWidth="1"/>
    <x:col min="5" max="5" width="18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20" hidden="0" customWidth="1"/>
  </x:cols>
  <x:sheetData>
    <x:row r="1" ht="28" customHeight="1">
      <x:c r="A1" s="4" t="str">
        <x:v>Villages / localités — structure d’import géographique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18" t="str">
        <x:v>Latitude et longitude sont prévues en WGS84. Les liens administratifs passent obligatoirement par un groupement.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</x:row>
    <x:row r="3">
      <x:c r="A3" s="26" t="str">
        <x:v>village_id</x:v>
      </x:c>
      <x:c r="B3" s="26" t="str">
        <x:v>groupement_id</x:v>
      </x:c>
      <x:c r="C3" s="26" t="str">
        <x:v>nom_village</x:v>
      </x:c>
      <x:c r="D3" s="26" t="str">
        <x:v>autre_nom</x:v>
      </x:c>
      <x:c r="E3" s="26" t="str">
        <x:v>categorie</x:v>
      </x:c>
      <x:c r="F3" s="26" t="str">
        <x:v>pcode</x:v>
      </x:c>
      <x:c r="G3" s="26" t="str">
        <x:v>code_ins</x:v>
      </x:c>
      <x:c r="H3" s="26" t="str">
        <x:v>latitude</x:v>
      </x:c>
      <x:c r="I3" s="26" t="str">
        <x:v>longitude</x:v>
      </x:c>
      <x:c r="J3" s="26" t="str">
        <x:v>source_id</x:v>
      </x:c>
      <x:c r="K3" s="26" t="str">
        <x:v>date_source</x:v>
      </x:c>
      <x:c r="L3" s="26" t="str">
        <x:v>statut_validation</x:v>
      </x:c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5" hidden="0" customWidth="1"/>
    <x:col min="4" max="4" width="30" hidden="0" customWidth="1"/>
    <x:col min="5" max="5" width="55" hidden="0" customWidth="1"/>
    <x:col min="6" max="6" width="14" hidden="0" customWidth="1"/>
    <x:col min="7" max="7" width="20" hidden="0" customWidth="1"/>
  </x:cols>
  <x:sheetData>
    <x:row r="1" ht="28" customHeight="1">
      <x:c r="A1" s="4" t="str">
        <x:v>Groupes ethnolinguistiques — référentiel</x:v>
      </x:c>
      <x:c r="B1" s="4"/>
      <x:c r="C1" s="4"/>
      <x:c r="D1" s="4"/>
      <x:c r="E1" s="4"/>
      <x:c r="F1" s="4"/>
      <x:c r="G1" s="4"/>
    </x:row>
    <x:row r="2">
      <x:c r="A2" s="18" t="str">
        <x:v>Aucune attribution automatique à un secteur : les associations doivent être sourcées et peuvent être multiples.</x:v>
      </x:c>
      <x:c r="B2" s="18"/>
      <x:c r="C2" s="18"/>
      <x:c r="D2" s="18"/>
      <x:c r="E2" s="18"/>
      <x:c r="F2" s="18"/>
      <x:c r="G2" s="18"/>
    </x:row>
    <x:row r="3">
      <x:c r="A3" s="26" t="str">
        <x:v>groupe_id</x:v>
      </x:c>
      <x:c r="B3" s="26" t="str">
        <x:v>nom_groupe</x:v>
      </x:c>
      <x:c r="C3" s="26" t="str">
        <x:v>autres_noms</x:v>
      </x:c>
      <x:c r="D3" s="26" t="str">
        <x:v>classification</x:v>
      </x:c>
      <x:c r="E3" s="26" t="str">
        <x:v>note</x:v>
      </x:c>
      <x:c r="F3" s="26" t="str">
        <x:v>source_id</x:v>
      </x:c>
      <x:c r="G3" s="26" t="str">
        <x:v>statut_validation</x:v>
      </x:c>
    </x:row>
    <x:row r="4">
      <x:c r="A4" t="str"/>
      <x:c r="B4" t="str"/>
      <x:c r="C4" t="str"/>
      <x:c r="D4" t="str"/>
      <x:c r="E4" t="str"/>
      <x:c r="F4" t="str"/>
      <x:c r="G4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4" hidden="0" customWidth="1"/>
    <x:col min="4" max="4" width="16" hidden="0" customWidth="1"/>
    <x:col min="5" max="5" width="36" hidden="0" customWidth="1"/>
    <x:col min="6" max="6" width="14" hidden="0" customWidth="1"/>
    <x:col min="7" max="7" width="20" hidden="0" customWidth="1"/>
  </x:cols>
  <x:sheetData>
    <x:row r="1" ht="28" customHeight="1">
      <x:c r="A1" s="4" t="str">
        <x:v>Langues — référentiel normalisé</x:v>
      </x:c>
      <x:c r="B1" s="4"/>
      <x:c r="C1" s="4"/>
      <x:c r="D1" s="4"/>
      <x:c r="E1" s="4"/>
      <x:c r="F1" s="4"/>
      <x:c r="G1" s="4"/>
    </x:row>
    <x:row r="2">
      <x:c r="A2" s="18" t="str">
        <x:v>Prévu pour le nom de langue, ISO 639-3, Glottocode et variantes; à alimenter notamment avec CERDOTOLA et Glottolog.</x:v>
      </x:c>
      <x:c r="B2" s="18"/>
      <x:c r="C2" s="18"/>
      <x:c r="D2" s="18"/>
      <x:c r="E2" s="18"/>
      <x:c r="F2" s="18"/>
      <x:c r="G2" s="18"/>
    </x:row>
    <x:row r="3">
      <x:c r="A3" s="26" t="str">
        <x:v>langue_id</x:v>
      </x:c>
      <x:c r="B3" s="26" t="str">
        <x:v>nom_langue</x:v>
      </x:c>
      <x:c r="C3" s="26" t="str">
        <x:v>iso_639_3</x:v>
      </x:c>
      <x:c r="D3" s="26" t="str">
        <x:v>glottocode</x:v>
      </x:c>
      <x:c r="E3" s="26" t="str">
        <x:v>autres_noms</x:v>
      </x:c>
      <x:c r="F3" s="26" t="str">
        <x:v>source_id</x:v>
      </x:c>
      <x:c r="G3" s="26" t="str">
        <x:v>statut_validation</x:v>
      </x:c>
    </x:row>
    <x:row r="4">
      <x:c r="A4" t="str"/>
      <x:c r="B4" t="str"/>
      <x:c r="C4" t="str"/>
      <x:c r="D4" t="str"/>
      <x:c r="E4" t="str"/>
      <x:c r="F4" t="str"/>
      <x:c r="G4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22" hidden="0" customWidth="1"/>
    <x:col min="4" max="4" width="16" hidden="0" customWidth="1"/>
    <x:col min="5" max="5" width="14" hidden="0" customWidth="1"/>
    <x:col min="6" max="6" width="12" hidden="0" customWidth="1"/>
    <x:col min="7" max="7" width="12" hidden="0" customWidth="1"/>
    <x:col min="8" max="8" width="22" hidden="0" customWidth="1"/>
    <x:col min="9" max="9" width="18" hidden="0" customWidth="1"/>
    <x:col min="10" max="10" width="14" hidden="0" customWidth="1"/>
    <x:col min="11" max="11" width="15" hidden="0" customWidth="1"/>
    <x:col min="12" max="12" width="55" hidden="0" customWidth="1"/>
  </x:cols>
  <x:sheetData>
    <x:row r="1" ht="28" customHeight="1">
      <x:c r="A1" s="4" t="str">
        <x:v>Implantations ethnolinguistiques — relations plusieurs-à-plusieurs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18" t="str">
        <x:v>Une relation vise exactement un niveau administratif (secteur/chefferie OU groupement OU village) et peut associer un groupe, une langue, ou les deux.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</x:row>
    <x:row r="3">
      <x:c r="A3" s="26" t="str">
        <x:v>implantation_id</x:v>
      </x:c>
      <x:c r="B3" s="26" t="str">
        <x:v>niveau</x:v>
      </x:c>
      <x:c r="C3" s="26" t="str">
        <x:v>secteur_chefferie_id</x:v>
      </x:c>
      <x:c r="D3" s="26" t="str">
        <x:v>groupement_id</x:v>
      </x:c>
      <x:c r="E3" s="26" t="str">
        <x:v>village_id</x:v>
      </x:c>
      <x:c r="F3" s="26" t="str">
        <x:v>groupe_id</x:v>
      </x:c>
      <x:c r="G3" s="26" t="str">
        <x:v>langue_id</x:v>
      </x:c>
      <x:c r="H3" s="26" t="str">
        <x:v>statut_presence</x:v>
      </x:c>
      <x:c r="I3" s="26" t="str">
        <x:v>niveau_confiance</x:v>
      </x:c>
      <x:c r="J3" s="26" t="str">
        <x:v>source_id</x:v>
      </x:c>
      <x:c r="K3" s="26" t="str">
        <x:v>annee_source</x:v>
      </x:c>
      <x:c r="L3" s="26" t="str">
        <x:v>commentaire</x:v>
      </x:c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22" hidden="0" customWidth="1"/>
    <x:col min="4" max="4" width="28" hidden="0" customWidth="1"/>
    <x:col min="5" max="5" width="24" hidden="0" customWidth="1"/>
    <x:col min="6" max="6" width="18" hidden="0" customWidth="1"/>
    <x:col min="7" max="7" width="22" hidden="0" customWidth="1"/>
    <x:col min="8" max="8" width="30" hidden="0" customWidth="1"/>
    <x:col min="9" max="9" width="28" hidden="0" customWidth="1"/>
    <x:col min="10" max="10" width="30" hidden="0" customWidth="1"/>
    <x:col min="11" max="11" width="14" hidden="0" customWidth="1"/>
    <x:col min="12" max="12" width="14" hidden="0" customWidth="1"/>
    <x:col min="13" max="13" width="12" hidden="0" customWidth="1"/>
    <x:col min="14" max="14" width="16" hidden="0" customWidth="1"/>
    <x:col min="15" max="15" width="18" hidden="0" customWidth="1"/>
  </x:cols>
  <x:sheetData>
    <x:row r="1" ht="28" customHeight="1">
      <x:c r="A1" s="4" t="str">
        <x:v>Staging — localités RGC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s="18" t="str">
        <x:v>Zone d’atterrissage prévue pour importer sans perte les attributs de la couche RGC avant normalisation vers groupements/villages.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</x:row>
    <x:row r="3">
      <x:c r="A3" s="26" t="str">
        <x:v>pcode</x:v>
      </x:c>
      <x:c r="B3" s="26" t="str">
        <x:v>id_objet_ins</x:v>
      </x:c>
      <x:c r="C3" s="26" t="str">
        <x:v>id_niveau_admin_ins</x:v>
      </x:c>
      <x:c r="D3" s="26" t="str">
        <x:v>nom_usuel</x:v>
      </x:c>
      <x:c r="E3" s="26" t="str">
        <x:v>autre_nom</x:v>
      </x:c>
      <x:c r="F3" s="26" t="str">
        <x:v>categorie</x:v>
      </x:c>
      <x:c r="G3" s="26" t="str">
        <x:v>territoire</x:v>
      </x:c>
      <x:c r="H3" s="26" t="str">
        <x:v>secteur_ou_chefferie</x:v>
      </x:c>
      <x:c r="I3" s="26" t="str">
        <x:v>groupement</x:v>
      </x:c>
      <x:c r="J3" s="26" t="str">
        <x:v>code_administratif_groupement</x:v>
      </x:c>
      <x:c r="K3" s="26" t="str">
        <x:v>longitude</x:v>
      </x:c>
      <x:c r="L3" s="26" t="str">
        <x:v>latitude</x:v>
      </x:c>
      <x:c r="M3" s="26" t="str">
        <x:v>source_id</x:v>
      </x:c>
      <x:c r="N3" s="26" t="str">
        <x:v>date_source</x:v>
      </x:c>
      <x:c r="O3" s="26" t="str">
        <x:v>statut_etl</x:v>
      </x:c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</x:row>
  </x:sheetData>
  <x:mergeCells>
    <x:mergeCell ref="A1:O1"/>
    <x:mergeCell ref="A2:O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6" hidden="0" customWidth="1"/>
    <x:col min="3" max="3" width="28" hidden="0" customWidth="1"/>
    <x:col min="4" max="4" width="58" hidden="0" customWidth="1"/>
    <x:col min="5" max="5" width="70" hidden="0" customWidth="1"/>
    <x:col min="6" max="6" width="18" hidden="0" customWidth="1"/>
    <x:col min="7" max="7" width="58" hidden="0" customWidth="1"/>
  </x:cols>
  <x:sheetData>
    <x:row r="1" ht="28" customHeight="1">
      <x:c r="A1" s="4" t="str">
        <x:v>Sources et traçabilité</x:v>
      </x:c>
      <x:c r="B1" s="4"/>
      <x:c r="C1" s="4"/>
      <x:c r="D1" s="4"/>
      <x:c r="E1" s="4"/>
      <x:c r="F1" s="4"/>
      <x:c r="G1" s="4"/>
    </x:row>
    <x:row r="2">
      <x:c r="A2" s="18" t="str">
        <x:v>Chaque jeu de données importé dans la base doit conserver un identifiant de source et une date/version.</x:v>
      </x:c>
      <x:c r="B2" s="18"/>
      <x:c r="C2" s="18"/>
      <x:c r="D2" s="18"/>
      <x:c r="E2" s="18"/>
      <x:c r="F2" s="18"/>
      <x:c r="G2" s="18"/>
    </x:row>
    <x:row r="3">
      <x:c r="A3" s="26" t="str">
        <x:v>source_id</x:v>
      </x:c>
      <x:c r="B3" s="26" t="str">
        <x:v>nom_source</x:v>
      </x:c>
      <x:c r="C3" s="26" t="str">
        <x:v>type_source</x:v>
      </x:c>
      <x:c r="D3" s="26" t="str">
        <x:v>usage_prevu</x:v>
      </x:c>
      <x:c r="E3" s="26" t="str">
        <x:v>url</x:v>
      </x:c>
      <x:c r="F3" s="26" t="str">
        <x:v>date_consultation</x:v>
      </x:c>
      <x:c r="G3" s="26" t="str">
        <x:v>notes</x:v>
      </x:c>
    </x:row>
    <x:row r="4">
      <x:c r="A4" s="14" t="str">
        <x:v>S01</x:v>
      </x:c>
      <x:c r="B4" s="14" t="str">
        <x:v>Ministère de l’Intérieur RDC – Provinces / territoires</x:v>
      </x:c>
      <x:c r="C4" s="14" t="str">
        <x:v>Institutionnelle</x:v>
      </x:c>
      <x:c r="D4" s="14" t="str">
        <x:v>Liste des 26 provinces et chefs-lieux</x:v>
      </x:c>
      <x:c r="E4" s="14" t="str">
        <x:v>https://interieur.gouv.cd/ministere/territoires</x:v>
      </x:c>
      <x:c r="F4" s="14" t="str">
        <x:v>2026-09-13</x:v>
      </x:c>
      <x:c r="G4" s="14" t="str">
        <x:v>Référence principale pour provinces/chefs-lieux</x:v>
      </x:c>
    </x:row>
    <x:row r="5">
      <x:c r="A5" s="14" t="str">
        <x:v>S02</x:v>
      </x:c>
      <x:c r="B5" s="14" t="str">
        <x:v>Référentiel Géographique Commun (RGC) – Données administratives</x:v>
      </x:c>
      <x:c r="C5" s="14" t="str">
        <x:v>Institutionnelle / géospatiale</x:v>
      </x:c>
      <x:c r="D5" s="14" t="str">
        <x:v>Schémas et couches provinces, territoires, collectivités, groupements, localités; coordonnées WGS84</x:v>
      </x:c>
      <x:c r="E5" s="14" t="str">
        <x:v>https://www.rgc.cd/index.php?Itemid=183&amp;id=41&amp;option=com_content&amp;view=category</x:v>
      </x:c>
      <x:c r="F5" s="14" t="str">
        <x:v>2026-09-13</x:v>
      </x:c>
      <x:c r="G5" s="14" t="str">
        <x:v>Localités et groupements annoncés; couche historique 2010/2015</x:v>
      </x:c>
    </x:row>
    <x:row r="6">
      <x:c r="A6" s="14" t="str">
        <x:v>S03</x:v>
      </x:c>
      <x:c r="B6" s="14" t="str">
        <x:v>Tableau synoptique des entités territoriales – SG Décentralisation (via AWA)</x:v>
      </x:c>
      <x:c r="C6" s="14" t="str">
        <x:v>Administrative</x:v>
      </x:c>
      <x:c r="D6" s="14" t="str">
        <x:v>Comptages des territoires, secteurs et chefferies par province</x:v>
      </x:c>
      <x:c r="E6" s="14" t="str">
        <x:v>https://www.awa-afrika.com/veillejuridique/TableauSynoptiqueDesEntitesTerritoriales.pdf</x:v>
      </x:c>
      <x:c r="F6" s="14" t="str">
        <x:v>2026-09-13</x:v>
      </x:c>
      <x:c r="G6" s="14" t="str">
        <x:v>Le tableau présente une incohérence de ventilation secteurs/chefferies; total ETD inchangé</x:v>
      </x:c>
    </x:row>
    <x:row r="7">
      <x:c r="A7" s="14" t="str">
        <x:v>S04</x:v>
      </x:c>
      <x:c r="B7" s="14" t="str">
        <x:v>Humanitarian Atlas – RDC</x:v>
      </x:c>
      <x:c r="C7" s="14" t="str">
        <x:v>Humanitaire / géospatial</x:v>
      </x:c>
      <x:c r="D7" s="14" t="str">
        <x:v>Convention de PCodes et 145 territoires</x:v>
      </x:c>
      <x:c r="E7" s="14" t="str">
        <x:v>https://www.humanitarianatlas.org/rdc/</x:v>
      </x:c>
      <x:c r="F7" s="14" t="str">
        <x:v>2026-09-13</x:v>
      </x:c>
      <x:c r="G7" s="14" t="str">
        <x:v>À utiliser pour validation croisée des PCodes</x:v>
      </x:c>
    </x:row>
    <x:row r="8">
      <x:c r="A8" s="14" t="str">
        <x:v>S05</x:v>
      </x:c>
      <x:c r="B8" s="14" t="str">
        <x:v>Liste des territoires de la RDC – Wikipédia FR</x:v>
      </x:c>
      <x:c r="C8" s="14" t="str">
        <x:v>Source secondaire</x:v>
      </x:c>
      <x:c r="D8" s="14" t="str">
        <x:v>PCodes bruts de travail pour les 145 territoires</x:v>
      </x:c>
      <x:c r="E8" s="14" t="str">
        <x:v>https://fr.wikipedia.org/wiki/Territoire_(r%C3%A9publique_d%C3%A9mocratique_du_Congo)</x:v>
      </x:c>
      <x:c r="F8" s="14" t="str">
        <x:v>2026-09-13</x:v>
      </x:c>
      <x:c r="G8" s="14" t="str">
        <x:v>Tous les PCodes de cette source sont marqués À VALIDER avant usage officiel</x:v>
      </x:c>
    </x:row>
    <x:row r="9">
      <x:c r="A9" s="14" t="str">
        <x:v>S06</x:v>
      </x:c>
      <x:c r="B9" s="14" t="str">
        <x:v>Chiefdoms and sectors of the DRC – Wikipédia EN</x:v>
      </x:c>
      <x:c r="C9" s="14" t="str">
        <x:v>Source secondaire / CENI 2018 citée</x:v>
      </x:c>
      <x:c r="D9" s="14" t="str">
        <x:v>Nomenclature historique des secteurs et chefferies; total 734 en 2018</x:v>
      </x:c>
      <x:c r="E9" s="14" t="str">
        <x:v>https://en.wikipedia.org/wiki/Chiefdoms_and_sectors_of_the_Democratic_Republic_of_the_Congo</x:v>
      </x:c>
      <x:c r="F9" s="14" t="str">
        <x:v>2026-09-13</x:v>
      </x:c>
      <x:c r="G9" s="14" t="str">
        <x:v>Source de pré-intégration uniquement; valider avec SG Décentralisation/RGC</x:v>
      </x:c>
    </x:row>
    <x:row r="10">
      <x:c r="A10" s="14" t="str">
        <x:v>S07</x:v>
      </x:c>
      <x:c r="B10" s="14" t="str">
        <x:v>CERDOTOLA – Atlas linguistique de la RDC</x:v>
      </x:c>
      <x:c r="C10" s="14" t="str">
        <x:v>Scientifique / linguistique</x:v>
      </x:c>
      <x:c r="D10" s="14" t="str">
        <x:v>Référence pour inventaire et localisation des langues</x:v>
      </x:c>
      <x:c r="E10" s="14" t="str">
        <x:v>https://cerdotola.org/2014/12/05/atlas-linguistique-de-la-rdc/1527</x:v>
      </x:c>
      <x:c r="F10" s="14" t="str">
        <x:v>2026-09-13</x:v>
      </x:c>
      <x:c r="G10" s="14" t="str">
        <x:v>À utiliser pour alimenter la couche linguistique sans inférences</x:v>
      </x:c>
    </x:row>
    <x:row r="11">
      <x:c r="A11" s="14" t="str">
        <x:v>S08</x:v>
      </x:c>
      <x:c r="B11" s="14" t="str">
        <x:v>Glottolog – Languages of DR Congo</x:v>
      </x:c>
      <x:c r="C11" s="14" t="str">
        <x:v>Scientifique / linguistique</x:v>
      </x:c>
      <x:c r="D11" s="14" t="str">
        <x:v>Identifiants linguistiques, glottocodes et cartographie des langues</x:v>
      </x:c>
      <x:c r="E11" s="14" t="str">
        <x:v>https://glottolog.org/glottolog/language.map.html?country=CD</x:v>
      </x:c>
      <x:c r="F11" s="14" t="str">
        <x:v>2026-09-13</x:v>
      </x:c>
      <x:c r="G11" s="14" t="str">
        <x:v>Référence complémentaire pour normalisation des langues</x:v>
      </x:c>
    </x:row>
    <x:row r="12">
      <x:c r="A12" s="14" t="str">
        <x:v>S09</x:v>
      </x:c>
      <x:c r="B12" s="14" t="str">
        <x:v>RGPH RDC – laboratoire cartographie</x:v>
      </x:c>
      <x:c r="C12" s="14" t="str">
        <x:v>Institutionnelle</x:v>
      </x:c>
      <x:c r="D12" s="14" t="str">
        <x:v>Mention de points géographiques d’environ 80 000 villages et de la DPA codifiée</x:v>
      </x:c>
      <x:c r="E12" s="14" t="str">
        <x:v>https://www.rgph-rdc.org/web/content/984?download=true&amp;unique=16eeb380d7819b5ec8f6c888afb162d142cba8d2</x:v>
      </x:c>
      <x:c r="F12" s="14" t="str">
        <x:v>2026-09-13</x:v>
      </x:c>
      <x:c r="G12" s="14" t="str">
        <x:v>Candidat prioritaire pour mise à jour/validation des villages</x:v>
      </x:c>
    </x:row>
    <x:row r="13">
      <x:c r="A13" s="14" t="str">
        <x:v>S10</x:v>
      </x:c>
      <x:c r="B13" s="14" t="str">
        <x:v>UN SALB – RDC</x:v>
      </x:c>
      <x:c r="C13" s="14" t="str">
        <x:v>ONU / géospatial</x:v>
      </x:c>
      <x:c r="D13" s="14" t="str">
        <x:v>Unités administratives validées; validité indiquée jusqu’à mise à jour 2024-06-13</x:v>
      </x:c>
      <x:c r="E13" s="14" t="str">
        <x:v>https://salb.un.org/en/data/cod</x:v>
      </x:c>
      <x:c r="F13" s="14" t="str">
        <x:v>2026-09-13</x:v>
      </x:c>
      <x:c r="G13" s="14" t="str">
        <x:v>Référence de validation des niveaux administratifs disponibles</x:v>
      </x:c>
    </x:row>
    <x:row r="14">
      <x:c r="A14" s="14" t="str">
        <x:v>S11</x:v>
      </x:c>
      <x:c r="B14" s="14" t="str">
        <x:v>GRID3 Settlement Names – DRC (DOI)</x:v>
      </x:c>
      <x:c r="C14" s="14" t="str">
        <x:v>Géospatial / opérationnel</x:v>
      </x:c>
      <x:c r="D14" s="14" t="str">
        <x:v>Jeu de points de localités candidat pour enrichissement géographique</x:v>
      </x:c>
      <x:c r="E14" s="14" t="str">
        <x:v>https://doi.org/10.7916/qpnw-1c89</x:v>
      </x:c>
      <x:c r="F14" s="14" t="str">
        <x:v>2026-09-13</x:v>
      </x:c>
      <x:c r="G14" s="14" t="str">
        <x:v>À intégrer après contrôle de licence, dédoublonnage et validation administrative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c08d60ee11d449a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6" hidden="0" customWidth="1"/>
    <x:col min="4" max="4" width="75" hidden="0" customWidth="1"/>
    <x:col min="5" max="5" width="14" hidden="0" customWidth="1"/>
    <x:col min="6" max="6" width="65" hidden="0" customWidth="1"/>
    <x:col min="7" max="7" width="14" hidden="0" customWidth="1"/>
    <x:col min="8" max="8" width="18" hidden="0" customWidth="1"/>
  </x:cols>
  <x:sheetData>
    <x:row r="1" ht="28" customHeight="1">
      <x:c r="A1" s="4" t="str">
        <x:v>Registre de qualité des données</x:v>
      </x:c>
      <x:c r="B1" s="4"/>
      <x:c r="C1" s="4"/>
      <x:c r="D1" s="4"/>
      <x:c r="E1" s="4"/>
      <x:c r="F1" s="4"/>
      <x:c r="G1" s="4"/>
      <x:c r="H1" s="4"/>
    </x:row>
    <x:row r="2">
      <x:c r="A2" s="18" t="str">
        <x:v>Les anomalies connues sont conservées au lieu d’être corrigées silencieusement.</x:v>
      </x:c>
      <x:c r="B2" s="18"/>
      <x:c r="C2" s="18"/>
      <x:c r="D2" s="18"/>
      <x:c r="E2" s="18"/>
      <x:c r="F2" s="18"/>
      <x:c r="G2" s="18"/>
      <x:c r="H2" s="18"/>
    </x:row>
    <x:row r="3">
      <x:c r="A3" s="26" t="str">
        <x:v>qa_id</x:v>
      </x:c>
      <x:c r="B3" s="26" t="str">
        <x:v>categorie</x:v>
      </x:c>
      <x:c r="C3" s="26" t="str">
        <x:v>portee</x:v>
      </x:c>
      <x:c r="D3" s="26" t="str">
        <x:v>probleme</x:v>
      </x:c>
      <x:c r="E3" s="26" t="str">
        <x:v>severite</x:v>
      </x:c>
      <x:c r="F3" s="26" t="str">
        <x:v>action_recommandee</x:v>
      </x:c>
      <x:c r="G3" s="26" t="str">
        <x:v>statut</x:v>
      </x:c>
      <x:c r="H3" s="26" t="str">
        <x:v>sources</x:v>
      </x:c>
    </x:row>
    <x:row r="4">
      <x:c r="A4" s="32" t="str">
        <x:v>QA001</x:v>
      </x:c>
      <x:c r="B4" s="32" t="str">
        <x:v>PCODE</x:v>
      </x:c>
      <x:c r="C4" s="32" t="str">
        <x:v>Kasaï / Kamonia</x:v>
      </x:c>
      <x:c r="D4" s="32" t="str">
        <x:v>Le PCode brut 9102 ne correspond pas au préfixe 92 attendu pour le Kasaï.</x:v>
      </x:c>
      <x:c r="E4" s="32" t="str">
        <x:v>ÉLEVÉ</x:v>
      </x:c>
      <x:c r="F4" s="32" t="str">
        <x:v>Vérifier avec RGC/CAID/OCHA avant production.</x:v>
      </x:c>
      <x:c r="G4" s="32" t="str">
        <x:v>OUVERT</x:v>
      </x:c>
      <x:c r="H4" s="32" t="str">
        <x:v>S05</x:v>
      </x:c>
    </x:row>
    <x:row r="5">
      <x:c r="A5" s="32" t="str">
        <x:v>QA002</x:v>
      </x:c>
      <x:c r="B5" s="32" t="str">
        <x:v>PCODE</x:v>
      </x:c>
      <x:c r="C5" s="32" t="str">
        <x:v>Tanganyika / Kongolo</x:v>
      </x:c>
      <x:c r="D5" s="32" t="str">
        <x:v>Le PCode brut 9109 ne correspond pas au préfixe 74 attendu pour le Tanganyika.</x:v>
      </x:c>
      <x:c r="E5" s="32" t="str">
        <x:v>ÉLEVÉ</x:v>
      </x:c>
      <x:c r="F5" s="32" t="str">
        <x:v>Vérifier avec RGC/CAID/OCHA avant production.</x:v>
      </x:c>
      <x:c r="G5" s="32" t="str">
        <x:v>OUVERT</x:v>
      </x:c>
      <x:c r="H5" s="32" t="str">
        <x:v>S05</x:v>
      </x:c>
    </x:row>
    <x:row r="6">
      <x:c r="A6" s="14" t="str">
        <x:v>QA003</x:v>
      </x:c>
      <x:c r="B6" s="14" t="str">
        <x:v>AGRÉGAT_ETD</x:v>
      </x:c>
      <x:c r="C6" s="14" t="str">
        <x:v>National</x:v>
      </x:c>
      <x:c r="D6" s="14" t="str">
        <x:v>La somme des lignes provinciales utilisées donne 471 secteurs + 263 chefferies = 734, alors que le résumé de la source consultée affiche 472 secteurs + 262 chefferies = 734.</x:v>
      </x:c>
      <x:c r="E6" s="14" t="str">
        <x:v>MOYEN</x:v>
      </x:c>
      <x:c r="F6" s="14" t="str">
        <x:v>Valider la ventilation exacte par type; le total 734 reste cohérent.</x:v>
      </x:c>
      <x:c r="G6" s="14" t="str">
        <x:v>OUVERT</x:v>
      </x:c>
      <x:c r="H6" s="14" t="str">
        <x:v>S03</x:v>
      </x:c>
    </x:row>
    <x:row r="7">
      <x:c r="A7" s="32" t="str">
        <x:v>QA004</x:v>
      </x:c>
      <x:c r="B7" s="32" t="str">
        <x:v>FRAÎCHEUR</x:v>
      </x:c>
      <x:c r="C7" s="32" t="str">
        <x:v>Groupements / villages</x:v>
      </x:c>
      <x:c r="D7" s="32" t="str">
        <x:v>Le RGC décrit des couches groupements/localités très utiles mais datées de 2010 pour ces niveaux.</x:v>
      </x:c>
      <x:c r="E7" s="32" t="str">
        <x:v>ÉLEVÉ</x:v>
      </x:c>
      <x:c r="F7" s="32" t="str">
        <x:v>Croiser avec RGPH/IGC, SG Décentralisation et autres référentiels récents.</x:v>
      </x:c>
      <x:c r="G7" s="32" t="str">
        <x:v>OUVERT</x:v>
      </x:c>
      <x:c r="H7" s="32" t="str">
        <x:v>S02;S09</x:v>
      </x:c>
    </x:row>
    <x:row r="8">
      <x:c r="A8" s="14" t="str">
        <x:v>QA005</x:v>
      </x:c>
      <x:c r="B8" s="14" t="str">
        <x:v>COUVERTURE</x:v>
      </x:c>
      <x:c r="C8" s="14" t="str">
        <x:v>Groupements / villages</x:v>
      </x:c>
      <x:c r="D8" s="14" t="str">
        <x:v>Les noms et coordonnées exhaustifs ne sont pas encore chargés dans cette phase; les tables et le staging RGC sont prêts.</x:v>
      </x:c>
      <x:c r="E8" s="14" t="str">
        <x:v>INFO</x:v>
      </x:c>
      <x:c r="F8" s="14" t="str">
        <x:v>Importer les fichiers sources après acquisition/validation.</x:v>
      </x:c>
      <x:c r="G8" s="14" t="str">
        <x:v>OUVERT</x:v>
      </x:c>
      <x:c r="H8" s="14" t="str">
        <x:v>S02;S09;S11</x:v>
      </x:c>
    </x:row>
    <x:row r="9">
      <x:c r="A9" s="14" t="str">
        <x:v>QA006</x:v>
      </x:c>
      <x:c r="B9" s="14" t="str">
        <x:v>ETHNOLINGUISTIQUE</x:v>
      </x:c>
      <x:c r="C9" s="14" t="str">
        <x:v>National</x:v>
      </x:c>
      <x:c r="D9" s="14" t="str">
        <x:v>Aucune tribu/groupe ethnolinguistique n’est attribué automatiquement à un secteur ou village pour éviter les généralisations erronées.</x:v>
      </x:c>
      <x:c r="E9" s="14" t="str">
        <x:v>INFO</x:v>
      </x:c>
      <x:c r="F9" s="14" t="str">
        <x:v>Charger uniquement des associations sourcées et permettre plusieurs groupes/langues par entité.</x:v>
      </x:c>
      <x:c r="G9" s="14" t="str">
        <x:v>OUVERT</x:v>
      </x:c>
      <x:c r="H9" s="14" t="str">
        <x:v>S07;S08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716008b05be445e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24" hidden="0" customWidth="1"/>
    <x:col min="4" max="4" width="78" hidden="0" customWidth="1"/>
  </x:cols>
  <x:sheetData>
    <x:row r="1" ht="28" customHeight="1">
      <x:c r="A1" s="4" t="str">
        <x:v>Dictionnaire de données</x:v>
      </x:c>
      <x:c r="B1" s="4"/>
      <x:c r="C1" s="4"/>
      <x:c r="D1" s="4"/>
    </x:row>
    <x:row r="2">
      <x:c r="A2" s="18" t="str">
        <x:v>Résumé des principales clés et règles. Le script PostgreSQL contient les contraintes complètes.</x:v>
      </x:c>
      <x:c r="B2" s="18"/>
      <x:c r="C2" s="18"/>
      <x:c r="D2" s="18"/>
    </x:row>
    <x:row r="3">
      <x:c r="A3" s="26" t="str">
        <x:v>table</x:v>
      </x:c>
      <x:c r="B3" s="26" t="str">
        <x:v>champ</x:v>
      </x:c>
      <x:c r="C3" s="26" t="str">
        <x:v>rôle/type</x:v>
      </x:c>
      <x:c r="D3" s="26" t="str">
        <x:v>description</x:v>
      </x:c>
    </x:row>
    <x:row r="4">
      <x:c r="A4" s="14" t="str">
        <x:v>province</x:v>
      </x:c>
      <x:c r="B4" s="14" t="str">
        <x:v>province_id</x:v>
      </x:c>
      <x:c r="C4" s="14" t="str">
        <x:v>PK</x:v>
      </x:c>
      <x:c r="D4" s="14" t="str">
        <x:v>Identifiant interne stable de la province</x:v>
      </x:c>
    </x:row>
    <x:row r="5">
      <x:c r="A5" s="14" t="str">
        <x:v>territoire</x:v>
      </x:c>
      <x:c r="B5" s="14" t="str">
        <x:v>province_id</x:v>
      </x:c>
      <x:c r="C5" s="14" t="str">
        <x:v>FK → province</x:v>
      </x:c>
      <x:c r="D5" s="14" t="str">
        <x:v>Province du territoire</x:v>
      </x:c>
    </x:row>
    <x:row r="6">
      <x:c r="A6" s="14" t="str">
        <x:v>territoire</x:v>
      </x:c>
      <x:c r="B6" s="14" t="str">
        <x:v>pcode_reference_brut</x:v>
      </x:c>
      <x:c r="C6" s="14" t="str">
        <x:v>Référence à valider</x:v>
      </x:c>
      <x:c r="D6" s="14" t="str">
        <x:v>PCode de travail, ne pas traiter comme officiel avant validation</x:v>
      </x:c>
    </x:row>
    <x:row r="7">
      <x:c r="A7" s="14" t="str">
        <x:v>secteur_chefferie</x:v>
      </x:c>
      <x:c r="B7" s="14" t="str">
        <x:v>type_entite</x:v>
      </x:c>
      <x:c r="C7" s="14" t="str">
        <x:v>SECTEUR/CHEFFERIE</x:v>
      </x:c>
      <x:c r="D7" s="14" t="str">
        <x:v>Type administratif</x:v>
      </x:c>
    </x:row>
    <x:row r="8">
      <x:c r="A8" s="14" t="str">
        <x:v>groupement</x:v>
      </x:c>
      <x:c r="B8" s="14" t="str">
        <x:v>secteur_chefferie_id</x:v>
      </x:c>
      <x:c r="C8" s="14" t="str">
        <x:v>FK</x:v>
      </x:c>
      <x:c r="D8" s="14" t="str">
        <x:v>Rattachement au secteur/chefferie</x:v>
      </x:c>
    </x:row>
    <x:row r="9">
      <x:c r="A9" s="14" t="str">
        <x:v>village</x:v>
      </x:c>
      <x:c r="B9" s="14" t="str">
        <x:v>groupement_id</x:v>
      </x:c>
      <x:c r="C9" s="14" t="str">
        <x:v>FK</x:v>
      </x:c>
      <x:c r="D9" s="14" t="str">
        <x:v>Rattachement obligatoire au groupement</x:v>
      </x:c>
    </x:row>
    <x:row r="10">
      <x:c r="A10" s="14" t="str">
        <x:v>village</x:v>
      </x:c>
      <x:c r="B10" s="14" t="str">
        <x:v>latitude / longitude</x:v>
      </x:c>
      <x:c r="C10" s="14" t="str">
        <x:v>WGS84</x:v>
      </x:c>
      <x:c r="D10" s="14" t="str">
        <x:v>Coordonnées décimales</x:v>
      </x:c>
    </x:row>
    <x:row r="11">
      <x:c r="A11" s="14" t="str">
        <x:v>langue</x:v>
      </x:c>
      <x:c r="B11" s="14" t="str">
        <x:v>iso_639_3</x:v>
      </x:c>
      <x:c r="C11" s="14" t="str">
        <x:v>Code ISO</x:v>
      </x:c>
      <x:c r="D11" s="14" t="str">
        <x:v>Identifiant international lorsqu’il existe</x:v>
      </x:c>
    </x:row>
    <x:row r="12">
      <x:c r="A12" s="14" t="str">
        <x:v>langue</x:v>
      </x:c>
      <x:c r="B12" s="14" t="str">
        <x:v>glottocode</x:v>
      </x:c>
      <x:c r="C12" s="14" t="str">
        <x:v>Glottolog</x:v>
      </x:c>
      <x:c r="D12" s="14" t="str">
        <x:v>Identifiant complémentaire</x:v>
      </x:c>
    </x:row>
    <x:row r="13">
      <x:c r="A13" s="14" t="str">
        <x:v>implantation_ethnolinguistique</x:v>
      </x:c>
      <x:c r="B13" s="14" t="str">
        <x:v>niveau</x:v>
      </x:c>
      <x:c r="C13" s="14" t="str">
        <x:v>Portée</x:v>
      </x:c>
      <x:c r="D13" s="14" t="str">
        <x:v>SECTEUR_CHEFFERIE, GROUPEMENT ou VILLAGE</x:v>
      </x:c>
    </x:row>
    <x:row r="14">
      <x:c r="A14" s="14" t="str">
        <x:v>implantation_ethnolinguistique</x:v>
      </x:c>
      <x:c r="B14" s="14" t="str">
        <x:v>niveau_confiance</x:v>
      </x:c>
      <x:c r="C14" s="14" t="str">
        <x:v>Qualité</x:v>
      </x:c>
      <x:c r="D14" s="14" t="str">
        <x:v>FAIBLE, MOYEN, ÉLEVÉ ou VALIDÉ</x:v>
      </x:c>
    </x:row>
    <x:row r="15">
      <x:c r="A15" s="14" t="str">
        <x:v>source_reference</x:v>
      </x:c>
      <x:c r="B15" s="14" t="str">
        <x:v>source_id</x:v>
      </x:c>
      <x:c r="C15" s="14" t="str">
        <x:v>PK</x:v>
      </x:c>
      <x:c r="D15" s="14" t="str">
        <x:v>Traçabilité obligatoire des données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fda4ec105ea40b7"/>
  </x:tableParts>
</x:worksheet>
</file>